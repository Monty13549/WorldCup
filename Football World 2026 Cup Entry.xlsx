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ontycrawford/WorldCup/"/>
    </mc:Choice>
  </mc:AlternateContent>
  <xr:revisionPtr revIDLastSave="0" documentId="8_{95E3E855-B2E8-4C40-B502-EC1DC72A9796}" xr6:coauthVersionLast="47" xr6:coauthVersionMax="47" xr10:uidLastSave="{00000000-0000-0000-0000-000000000000}"/>
  <bookViews>
    <workbookView xWindow="0" yWindow="660" windowWidth="30240" windowHeight="17840" xr2:uid="{D945ADB8-075A-4F96-B702-DCFAB0045EF7}"/>
  </bookViews>
  <sheets>
    <sheet name="EntryForm" sheetId="2" r:id="rId1"/>
    <sheet name="Tables" sheetId="3" state="hidden" r:id="rId2"/>
  </sheets>
  <definedNames>
    <definedName name="dbname">EntryForm!$C$3</definedName>
    <definedName name="dbtable">Tables!$A$4:$B$53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K33" i="3"/>
  <c r="Z27" i="2" l="1"/>
  <c r="X27" i="2"/>
  <c r="V27" i="2"/>
  <c r="T27" i="2"/>
  <c r="R27" i="2"/>
  <c r="P27" i="2"/>
  <c r="H27" i="2"/>
  <c r="F27" i="2"/>
  <c r="D27" i="2"/>
  <c r="N27" i="2"/>
  <c r="L27" i="2"/>
  <c r="J27" i="2"/>
</calcChain>
</file>

<file path=xl/sharedStrings.xml><?xml version="1.0" encoding="utf-8"?>
<sst xmlns="http://schemas.openxmlformats.org/spreadsheetml/2006/main" count="287" uniqueCount="128">
  <si>
    <t>A</t>
  </si>
  <si>
    <t>B</t>
  </si>
  <si>
    <t>C</t>
  </si>
  <si>
    <t>D</t>
  </si>
  <si>
    <t>Number</t>
  </si>
  <si>
    <t>Name</t>
  </si>
  <si>
    <t>Portugal</t>
  </si>
  <si>
    <t>France</t>
  </si>
  <si>
    <t>Spain</t>
  </si>
  <si>
    <t>England</t>
  </si>
  <si>
    <t>Germany</t>
  </si>
  <si>
    <t>Switzerland</t>
  </si>
  <si>
    <t>Groups</t>
  </si>
  <si>
    <t>Tier A</t>
  </si>
  <si>
    <t>Tier B</t>
  </si>
  <si>
    <t>Tier C</t>
  </si>
  <si>
    <t>Tier D</t>
  </si>
  <si>
    <t>E</t>
  </si>
  <si>
    <t>F</t>
  </si>
  <si>
    <t>G</t>
  </si>
  <si>
    <t>H</t>
  </si>
  <si>
    <t>Argentina</t>
  </si>
  <si>
    <t>Mexico</t>
  </si>
  <si>
    <t>Brazil</t>
  </si>
  <si>
    <t>Australia</t>
  </si>
  <si>
    <t>Japan</t>
  </si>
  <si>
    <t xml:space="preserve"> Type number of team selected in the boxes below</t>
  </si>
  <si>
    <r>
      <t>Every goal your team scores in tier A =</t>
    </r>
    <r>
      <rPr>
        <b/>
        <sz val="10"/>
        <rFont val="Arial"/>
        <family val="2"/>
      </rPr>
      <t xml:space="preserve"> +1</t>
    </r>
  </si>
  <si>
    <r>
      <t>Every goal your team concedes =</t>
    </r>
    <r>
      <rPr>
        <b/>
        <sz val="10"/>
        <rFont val="Arial"/>
        <family val="2"/>
      </rPr>
      <t xml:space="preserve"> -4</t>
    </r>
  </si>
  <si>
    <r>
      <t xml:space="preserve">Every goal your team scores in tier B = </t>
    </r>
    <r>
      <rPr>
        <b/>
        <sz val="10"/>
        <rFont val="Arial"/>
        <family val="2"/>
      </rPr>
      <t>+2</t>
    </r>
  </si>
  <si>
    <r>
      <t>Every goal your team concedes =</t>
    </r>
    <r>
      <rPr>
        <b/>
        <sz val="10"/>
        <rFont val="Arial"/>
        <family val="2"/>
      </rPr>
      <t xml:space="preserve"> -3</t>
    </r>
  </si>
  <si>
    <r>
      <t>Every goal your team scores in tier C =</t>
    </r>
    <r>
      <rPr>
        <b/>
        <sz val="10"/>
        <rFont val="Arial"/>
        <family val="2"/>
      </rPr>
      <t xml:space="preserve"> +3</t>
    </r>
  </si>
  <si>
    <r>
      <t>Every goal your team concedes =</t>
    </r>
    <r>
      <rPr>
        <b/>
        <sz val="10"/>
        <rFont val="Arial"/>
        <family val="2"/>
      </rPr>
      <t xml:space="preserve"> -2</t>
    </r>
  </si>
  <si>
    <r>
      <t xml:space="preserve">Every goal your team scores in tier D </t>
    </r>
    <r>
      <rPr>
        <b/>
        <sz val="10"/>
        <rFont val="Arial"/>
        <family val="2"/>
      </rPr>
      <t>=+4</t>
    </r>
  </si>
  <si>
    <r>
      <t xml:space="preserve">Every goal your team concedes = </t>
    </r>
    <r>
      <rPr>
        <b/>
        <sz val="10"/>
        <rFont val="Arial"/>
        <family val="2"/>
      </rPr>
      <t>-1</t>
    </r>
  </si>
  <si>
    <t>Uruguay</t>
  </si>
  <si>
    <t>NAME</t>
  </si>
  <si>
    <t>RULES</t>
  </si>
  <si>
    <t>a</t>
  </si>
  <si>
    <t xml:space="preserve">No restriction on the number of entries </t>
  </si>
  <si>
    <t>For</t>
  </si>
  <si>
    <t>Against</t>
  </si>
  <si>
    <t>+1</t>
  </si>
  <si>
    <t>+2</t>
  </si>
  <si>
    <t>+3</t>
  </si>
  <si>
    <t>+4</t>
  </si>
  <si>
    <t>-3</t>
  </si>
  <si>
    <t>-4</t>
  </si>
  <si>
    <t>-2</t>
  </si>
  <si>
    <t>-1</t>
  </si>
  <si>
    <t>Points</t>
  </si>
  <si>
    <t>Lis's decision is final! :-)</t>
  </si>
  <si>
    <t>Belgium</t>
  </si>
  <si>
    <t>Croatia</t>
  </si>
  <si>
    <t>Iran</t>
  </si>
  <si>
    <t>£5 per Entry</t>
  </si>
  <si>
    <t>Third Place Play off is counted towards team scores</t>
  </si>
  <si>
    <t>In the event of a tie, the pot is shared equally</t>
  </si>
  <si>
    <t>Anyone can enter</t>
  </si>
  <si>
    <t>Saudi Arabia</t>
  </si>
  <si>
    <t>South Korea</t>
  </si>
  <si>
    <t>Tunisia</t>
  </si>
  <si>
    <t>Senegal</t>
  </si>
  <si>
    <t>Netherlands</t>
  </si>
  <si>
    <t>USA</t>
  </si>
  <si>
    <t>Canada</t>
  </si>
  <si>
    <t>Ecuador</t>
  </si>
  <si>
    <t>Morocco</t>
  </si>
  <si>
    <t>Ghana</t>
  </si>
  <si>
    <t>Qatar</t>
  </si>
  <si>
    <t>Rank</t>
  </si>
  <si>
    <t>Position</t>
  </si>
  <si>
    <t>%Split</t>
  </si>
  <si>
    <t>I</t>
  </si>
  <si>
    <t>J</t>
  </si>
  <si>
    <t>K</t>
  </si>
  <si>
    <t>L</t>
  </si>
  <si>
    <t xml:space="preserve">Group </t>
  </si>
  <si>
    <t>Team</t>
  </si>
  <si>
    <t>South Africa</t>
  </si>
  <si>
    <t>Czechia</t>
  </si>
  <si>
    <t>Bosnia and Herzegovina</t>
  </si>
  <si>
    <t>Haiti</t>
  </si>
  <si>
    <t>Scotland</t>
  </si>
  <si>
    <t>Paraguay</t>
  </si>
  <si>
    <t>Turkiye</t>
  </si>
  <si>
    <t>Curacao</t>
  </si>
  <si>
    <t>Ivory Coast</t>
  </si>
  <si>
    <t>Sweden</t>
  </si>
  <si>
    <t>Egypt</t>
  </si>
  <si>
    <t xml:space="preserve">Iran </t>
  </si>
  <si>
    <t>New Zealand</t>
  </si>
  <si>
    <t>Cape Verde</t>
  </si>
  <si>
    <t>Iraq</t>
  </si>
  <si>
    <t>Norway</t>
  </si>
  <si>
    <t>Algeria</t>
  </si>
  <si>
    <t>Austria</t>
  </si>
  <si>
    <t>Jordan</t>
  </si>
  <si>
    <t>DR Congo</t>
  </si>
  <si>
    <t>Uzbekistan</t>
  </si>
  <si>
    <t>Colombia</t>
  </si>
  <si>
    <t>Panama</t>
  </si>
  <si>
    <t>Odds</t>
  </si>
  <si>
    <t>TBC</t>
  </si>
  <si>
    <t>dbtable</t>
  </si>
  <si>
    <t>Team1</t>
  </si>
  <si>
    <t>Team2</t>
  </si>
  <si>
    <t>Team3</t>
  </si>
  <si>
    <t>Team4</t>
  </si>
  <si>
    <t>Team5</t>
  </si>
  <si>
    <t>Team6</t>
  </si>
  <si>
    <t>Team7</t>
  </si>
  <si>
    <t>Team8</t>
  </si>
  <si>
    <t>Team9</t>
  </si>
  <si>
    <t>Team10</t>
  </si>
  <si>
    <t>Team11</t>
  </si>
  <si>
    <t>Team12</t>
  </si>
  <si>
    <t xml:space="preserve">X = invalid </t>
  </si>
  <si>
    <r>
      <t xml:space="preserve"> Pick 3 (only 3) teams from each </t>
    </r>
    <r>
      <rPr>
        <b/>
        <sz val="12"/>
        <color indexed="10"/>
        <rFont val="Arial"/>
        <family val="2"/>
      </rPr>
      <t>TIER</t>
    </r>
    <r>
      <rPr>
        <b/>
        <sz val="12"/>
        <rFont val="Arial"/>
        <family val="2"/>
      </rPr>
      <t xml:space="preserve">. Type the number in the yellow boxes. </t>
    </r>
  </si>
  <si>
    <t xml:space="preserve">Pick 3 teams from each TIER (1 from each row) </t>
  </si>
  <si>
    <t>If your team wins on penalties = plus 3 points</t>
  </si>
  <si>
    <t>If your team loses on penalties = minus 3 points</t>
  </si>
  <si>
    <r>
      <t xml:space="preserve"> At the end, you will end up with </t>
    </r>
    <r>
      <rPr>
        <b/>
        <sz val="12"/>
        <color indexed="10"/>
        <rFont val="Arial"/>
        <family val="2"/>
      </rPr>
      <t>ONE</t>
    </r>
    <r>
      <rPr>
        <b/>
        <sz val="12"/>
        <rFont val="Arial"/>
        <family val="2"/>
      </rPr>
      <t xml:space="preserve"> team on each </t>
    </r>
    <r>
      <rPr>
        <b/>
        <sz val="12"/>
        <color rgb="FFFF0000"/>
        <rFont val="Arial"/>
        <family val="2"/>
      </rPr>
      <t>ROW.</t>
    </r>
  </si>
  <si>
    <t>Team points for goals scored/conceded exclude goals scored in Penalty Shoot outs</t>
  </si>
  <si>
    <t>WORLD CUP 2026 FOOTBALL COMPETITION -  THURSDAY 11TH JUNE 2026</t>
  </si>
  <si>
    <t>All entries to be received before start of the first match on Thurs 11th June 2026</t>
  </si>
  <si>
    <t>Top 5 get a percentage of the pot (see table)</t>
  </si>
  <si>
    <t xml:space="preserve">INSERT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</si>
</sst>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name val="Arial"/>
    </font>
    <font>
      <sz val="12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indexed="10"/>
      <name val="Arial"/>
      <family val="2"/>
    </font>
    <font>
      <sz val="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18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2"/>
      <name val="Webdings"/>
      <family val="1"/>
      <charset val="2"/>
    </font>
    <font>
      <b/>
      <sz val="8"/>
      <name val="Arial Narrow"/>
      <family val="2"/>
    </font>
    <font>
      <sz val="8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0"/>
      <name val="Arial"/>
      <family val="2"/>
    </font>
    <font>
      <b/>
      <sz val="12"/>
      <color rgb="FFFF0000"/>
      <name val="Arial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lightTrellis">
        <fgColor indexed="9"/>
        <bgColor indexed="42"/>
      </patternFill>
    </fill>
    <fill>
      <patternFill patternType="lightTrellis">
        <fgColor indexed="9"/>
        <bgColor indexed="13"/>
      </patternFill>
    </fill>
    <fill>
      <patternFill patternType="solid">
        <fgColor indexed="27"/>
        <bgColor indexed="64"/>
      </patternFill>
    </fill>
    <fill>
      <patternFill patternType="lightTrellis">
        <fgColor indexed="9"/>
        <bgColor indexed="41"/>
      </patternFill>
    </fill>
    <fill>
      <patternFill patternType="solid">
        <fgColor indexed="31"/>
        <bgColor indexed="64"/>
      </patternFill>
    </fill>
    <fill>
      <patternFill patternType="lightTrellis">
        <fgColor indexed="9"/>
        <bgColor indexed="31"/>
      </patternFill>
    </fill>
    <fill>
      <patternFill patternType="solid">
        <fgColor indexed="45"/>
        <bgColor indexed="46"/>
      </patternFill>
    </fill>
    <fill>
      <patternFill patternType="lightTrellis">
        <fgColor indexed="9"/>
        <bgColor indexed="45"/>
      </patternFill>
    </fill>
    <fill>
      <patternFill patternType="lightTrellis">
        <fgColor indexed="9"/>
        <bgColor indexed="22"/>
      </patternFill>
    </fill>
    <fill>
      <patternFill patternType="lightTrellis">
        <fgColor indexed="9"/>
        <bgColor indexed="44"/>
      </patternFill>
    </fill>
    <fill>
      <patternFill patternType="solid">
        <fgColor indexed="47"/>
        <bgColor indexed="64"/>
      </patternFill>
    </fill>
    <fill>
      <patternFill patternType="lightTrellis">
        <fgColor indexed="9"/>
        <bgColor indexed="47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lightTrellis">
        <fgColor indexed="9"/>
        <bgColor indexed="27"/>
      </patternFill>
    </fill>
    <fill>
      <patternFill patternType="solid">
        <fgColor rgb="FFC0C0C0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3" fillId="2" borderId="3" xfId="0" applyFont="1" applyFill="1" applyBorder="1"/>
    <xf numFmtId="0" fontId="4" fillId="2" borderId="5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1" fillId="0" borderId="5" xfId="0" applyFont="1" applyBorder="1"/>
    <xf numFmtId="0" fontId="1" fillId="0" borderId="3" xfId="0" applyFont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2" fillId="2" borderId="7" xfId="0" applyFont="1" applyFill="1" applyBorder="1"/>
    <xf numFmtId="0" fontId="1" fillId="0" borderId="13" xfId="0" applyFont="1" applyBorder="1"/>
    <xf numFmtId="0" fontId="8" fillId="2" borderId="7" xfId="0" applyFont="1" applyFill="1" applyBorder="1"/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1" fillId="2" borderId="7" xfId="0" applyFont="1" applyFill="1" applyBorder="1"/>
    <xf numFmtId="0" fontId="12" fillId="2" borderId="7" xfId="0" applyFont="1" applyFill="1" applyBorder="1"/>
    <xf numFmtId="0" fontId="2" fillId="2" borderId="6" xfId="0" applyFont="1" applyFill="1" applyBorder="1"/>
    <xf numFmtId="0" fontId="6" fillId="0" borderId="1" xfId="0" applyFont="1" applyBorder="1"/>
    <xf numFmtId="0" fontId="6" fillId="0" borderId="0" xfId="0" applyFont="1"/>
    <xf numFmtId="0" fontId="1" fillId="0" borderId="0" xfId="0" applyFont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vertical="center"/>
    </xf>
    <xf numFmtId="0" fontId="4" fillId="9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vertical="center"/>
    </xf>
    <xf numFmtId="0" fontId="4" fillId="11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vertical="center"/>
    </xf>
    <xf numFmtId="0" fontId="4" fillId="15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17" borderId="3" xfId="0" applyFont="1" applyFill="1" applyBorder="1" applyAlignment="1">
      <alignment horizontal="center" vertical="center"/>
    </xf>
    <xf numFmtId="0" fontId="9" fillId="3" borderId="6" xfId="0" applyFont="1" applyFill="1" applyBorder="1"/>
    <xf numFmtId="0" fontId="9" fillId="3" borderId="7" xfId="0" applyFont="1" applyFill="1" applyBorder="1"/>
    <xf numFmtId="0" fontId="9" fillId="3" borderId="8" xfId="0" applyFont="1" applyFill="1" applyBorder="1"/>
    <xf numFmtId="0" fontId="9" fillId="3" borderId="9" xfId="0" applyFont="1" applyFill="1" applyBorder="1"/>
    <xf numFmtId="0" fontId="2" fillId="18" borderId="15" xfId="0" applyFont="1" applyFill="1" applyBorder="1" applyAlignment="1">
      <alignment horizontal="center" vertical="center"/>
    </xf>
    <xf numFmtId="0" fontId="6" fillId="2" borderId="0" xfId="0" applyFont="1" applyFill="1"/>
    <xf numFmtId="0" fontId="3" fillId="2" borderId="0" xfId="0" applyFont="1" applyFill="1"/>
    <xf numFmtId="0" fontId="10" fillId="2" borderId="16" xfId="0" applyFont="1" applyFill="1" applyBorder="1" applyAlignment="1">
      <alignment horizontal="center"/>
    </xf>
    <xf numFmtId="0" fontId="16" fillId="2" borderId="1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7" fillId="2" borderId="3" xfId="0" applyFont="1" applyFill="1" applyBorder="1"/>
    <xf numFmtId="0" fontId="4" fillId="2" borderId="18" xfId="0" applyFont="1" applyFill="1" applyBorder="1" applyAlignment="1">
      <alignment horizontal="center"/>
    </xf>
    <xf numFmtId="0" fontId="3" fillId="0" borderId="2" xfId="0" applyFont="1" applyBorder="1"/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0" fontId="13" fillId="3" borderId="0" xfId="0" applyFont="1" applyFill="1"/>
    <xf numFmtId="0" fontId="13" fillId="3" borderId="14" xfId="0" applyFont="1" applyFill="1" applyBorder="1"/>
    <xf numFmtId="0" fontId="13" fillId="3" borderId="15" xfId="0" applyFont="1" applyFill="1" applyBorder="1" applyAlignment="1">
      <alignment horizontal="center"/>
    </xf>
    <xf numFmtId="0" fontId="13" fillId="3" borderId="15" xfId="0" quotePrefix="1" applyFont="1" applyFill="1" applyBorder="1" applyAlignment="1">
      <alignment horizontal="center"/>
    </xf>
    <xf numFmtId="0" fontId="13" fillId="3" borderId="9" xfId="0" applyFont="1" applyFill="1" applyBorder="1"/>
    <xf numFmtId="0" fontId="13" fillId="3" borderId="20" xfId="0" applyFont="1" applyFill="1" applyBorder="1"/>
    <xf numFmtId="0" fontId="17" fillId="20" borderId="21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vertical="center"/>
    </xf>
    <xf numFmtId="0" fontId="6" fillId="10" borderId="8" xfId="0" applyFont="1" applyFill="1" applyBorder="1" applyAlignment="1">
      <alignment vertical="center"/>
    </xf>
    <xf numFmtId="0" fontId="2" fillId="18" borderId="2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3" fillId="2" borderId="27" xfId="0" applyFont="1" applyFill="1" applyBorder="1"/>
    <xf numFmtId="0" fontId="19" fillId="2" borderId="3" xfId="0" applyFont="1" applyFill="1" applyBorder="1" applyAlignment="1">
      <alignment horizontal="center"/>
    </xf>
    <xf numFmtId="0" fontId="19" fillId="2" borderId="3" xfId="0" applyFont="1" applyFill="1" applyBorder="1"/>
    <xf numFmtId="0" fontId="19" fillId="2" borderId="0" xfId="0" applyFont="1" applyFill="1" applyAlignment="1">
      <alignment horizontal="center"/>
    </xf>
    <xf numFmtId="0" fontId="19" fillId="2" borderId="0" xfId="0" applyFont="1" applyFill="1"/>
    <xf numFmtId="0" fontId="20" fillId="0" borderId="0" xfId="0" applyFont="1"/>
    <xf numFmtId="0" fontId="21" fillId="2" borderId="8" xfId="0" applyFont="1" applyFill="1" applyBorder="1" applyAlignment="1">
      <alignment horizontal="center"/>
    </xf>
    <xf numFmtId="0" fontId="21" fillId="2" borderId="28" xfId="0" applyFont="1" applyFill="1" applyBorder="1" applyAlignment="1">
      <alignment horizontal="center"/>
    </xf>
    <xf numFmtId="0" fontId="21" fillId="2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4" fillId="9" borderId="8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10" borderId="29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vertical="center"/>
    </xf>
    <xf numFmtId="0" fontId="13" fillId="3" borderId="0" xfId="0" quotePrefix="1" applyFont="1" applyFill="1" applyAlignment="1">
      <alignment horizontal="center"/>
    </xf>
    <xf numFmtId="0" fontId="22" fillId="2" borderId="4" xfId="0" applyFont="1" applyFill="1" applyBorder="1" applyAlignment="1">
      <alignment horizontal="center" wrapText="1"/>
    </xf>
    <xf numFmtId="9" fontId="1" fillId="0" borderId="0" xfId="0" applyNumberFormat="1" applyFont="1"/>
    <xf numFmtId="0" fontId="23" fillId="20" borderId="22" xfId="0" applyFont="1" applyFill="1" applyBorder="1" applyAlignment="1">
      <alignment horizontal="center" vertical="center" wrapText="1"/>
    </xf>
    <xf numFmtId="9" fontId="24" fillId="0" borderId="24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" fillId="6" borderId="19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19" borderId="0" xfId="0" applyFont="1" applyFill="1" applyAlignment="1">
      <alignment horizontal="left" vertical="center"/>
    </xf>
    <xf numFmtId="0" fontId="1" fillId="19" borderId="19" xfId="0" applyFont="1" applyFill="1" applyBorder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10" borderId="19" xfId="0" applyFont="1" applyFill="1" applyBorder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12" borderId="19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20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/>
    </xf>
    <xf numFmtId="0" fontId="1" fillId="19" borderId="14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2" borderId="14" xfId="0" applyFont="1" applyFill="1" applyBorder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1" fillId="13" borderId="14" xfId="0" applyFont="1" applyFill="1" applyBorder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1" fillId="14" borderId="14" xfId="0" applyFont="1" applyFill="1" applyBorder="1" applyAlignment="1">
      <alignment horizontal="left" vertical="center"/>
    </xf>
    <xf numFmtId="0" fontId="1" fillId="16" borderId="0" xfId="0" applyFont="1" applyFill="1" applyAlignment="1">
      <alignment horizontal="left" vertical="center"/>
    </xf>
    <xf numFmtId="0" fontId="1" fillId="16" borderId="14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5" borderId="14" xfId="0" applyFont="1" applyFill="1" applyBorder="1" applyAlignment="1">
      <alignment horizontal="left" vertical="center"/>
    </xf>
    <xf numFmtId="0" fontId="1" fillId="13" borderId="19" xfId="0" applyFont="1" applyFill="1" applyBorder="1" applyAlignment="1">
      <alignment horizontal="left" vertical="center"/>
    </xf>
    <xf numFmtId="0" fontId="1" fillId="14" borderId="19" xfId="0" applyFont="1" applyFill="1" applyBorder="1" applyAlignment="1">
      <alignment horizontal="left" vertical="center"/>
    </xf>
    <xf numFmtId="0" fontId="15" fillId="18" borderId="16" xfId="0" applyFont="1" applyFill="1" applyBorder="1" applyAlignment="1">
      <alignment horizontal="center" vertical="center"/>
    </xf>
    <xf numFmtId="0" fontId="15" fillId="18" borderId="25" xfId="0" applyFont="1" applyFill="1" applyBorder="1" applyAlignment="1">
      <alignment horizontal="center" vertical="center"/>
    </xf>
    <xf numFmtId="0" fontId="1" fillId="16" borderId="19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10" xfId="0" applyBorder="1"/>
  </cellXfs>
  <cellStyles count="1">
    <cellStyle name="Normal" xfId="0" builtinId="0"/>
  </cellStyles>
  <dxfs count="152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3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indexed="43"/>
        </patternFill>
      </fill>
    </dxf>
    <dxf>
      <font>
        <b/>
        <i val="0"/>
        <condense val="0"/>
        <extend val="0"/>
      </font>
      <fill>
        <patternFill patternType="solid">
          <bgColor theme="9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7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4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2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31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indexed="43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theme="9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theme="9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3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indexed="43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theme="9" tint="0.59996337778862885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7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4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2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3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indexed="43"/>
        </patternFill>
      </fill>
    </dxf>
    <dxf>
      <font>
        <b/>
        <i val="0"/>
        <condense val="0"/>
        <extend val="0"/>
      </font>
      <fill>
        <patternFill patternType="solid">
          <bgColor theme="9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3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indexed="43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theme="9" tint="0.59996337778862885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7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4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2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5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3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indexed="43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theme="9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3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indexed="43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theme="9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7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4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2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31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</font>
      <fill>
        <patternFill patternType="solid">
          <bgColor indexed="43"/>
        </patternFill>
      </fill>
    </dxf>
    <dxf>
      <font>
        <b/>
        <i val="0"/>
        <condense val="0"/>
        <extend val="0"/>
      </font>
      <fill>
        <patternFill patternType="solid">
          <bgColor theme="9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  <fill>
        <patternFill patternType="solid">
          <bgColor indexed="41"/>
        </patternFill>
      </fill>
    </dxf>
    <dxf>
      <font>
        <condense val="0"/>
        <extend val="0"/>
        <color auto="1"/>
      </font>
    </dxf>
  </dxfs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197068</xdr:colOff>
      <xdr:row>1</xdr:row>
      <xdr:rowOff>146999</xdr:rowOff>
    </xdr:from>
    <xdr:to>
      <xdr:col>26</xdr:col>
      <xdr:colOff>557047</xdr:colOff>
      <xdr:row>3</xdr:row>
      <xdr:rowOff>159699</xdr:rowOff>
    </xdr:to>
    <xdr:pic>
      <xdr:nvPicPr>
        <xdr:cNvPr id="1120" name="Picture 5" descr="j0299763">
          <a:extLst>
            <a:ext uri="{FF2B5EF4-FFF2-40B4-BE49-F238E27FC236}">
              <a16:creationId xmlns:a16="http://schemas.microsoft.com/office/drawing/2014/main" id="{211E0333-0076-A94D-DF9C-FF6D6E5BC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3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4252" y="344068"/>
          <a:ext cx="1016876" cy="74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5CCF-0143-40A0-ABFE-F37D9BB2F199}">
  <sheetPr codeName="Sheet1">
    <tabColor indexed="10"/>
    <pageSetUpPr fitToPage="1"/>
  </sheetPr>
  <dimension ref="B2:AB58"/>
  <sheetViews>
    <sheetView showGridLines="0" showRowColHeaders="0" tabSelected="1" zoomScale="87" zoomScaleNormal="87" workbookViewId="0">
      <selection activeCell="AB14" sqref="AB14"/>
    </sheetView>
  </sheetViews>
  <sheetFormatPr baseColWidth="10" defaultColWidth="9.7109375" defaultRowHeight="16" x14ac:dyDescent="0.2"/>
  <cols>
    <col min="1" max="1" width="4.7109375" style="1" customWidth="1"/>
    <col min="2" max="2" width="10" style="1" customWidth="1"/>
    <col min="3" max="3" width="3.7109375" style="1" customWidth="1"/>
    <col min="4" max="4" width="8" style="1" customWidth="1"/>
    <col min="5" max="5" width="1.7109375" style="1" customWidth="1"/>
    <col min="6" max="6" width="8" style="1" customWidth="1"/>
    <col min="7" max="7" width="1.7109375" style="1" customWidth="1"/>
    <col min="8" max="8" width="8" style="1" customWidth="1"/>
    <col min="9" max="9" width="3.7109375" style="1" customWidth="1"/>
    <col min="10" max="10" width="8" style="1" customWidth="1"/>
    <col min="11" max="11" width="1.7109375" style="1" customWidth="1"/>
    <col min="12" max="12" width="8" style="1" customWidth="1"/>
    <col min="13" max="13" width="1.7109375" style="1" customWidth="1"/>
    <col min="14" max="14" width="8" style="1" customWidth="1"/>
    <col min="15" max="15" width="3.7109375" style="1" customWidth="1"/>
    <col min="16" max="16" width="8" style="1" customWidth="1"/>
    <col min="17" max="17" width="2.85546875" style="1" customWidth="1"/>
    <col min="18" max="18" width="8" style="1" customWidth="1"/>
    <col min="19" max="19" width="1.7109375" style="1" customWidth="1"/>
    <col min="20" max="20" width="8" style="1" customWidth="1"/>
    <col min="21" max="21" width="3.7109375" style="1" customWidth="1"/>
    <col min="22" max="22" width="8" style="1" customWidth="1"/>
    <col min="23" max="23" width="1.7109375" style="1" customWidth="1"/>
    <col min="24" max="24" width="8" style="1" customWidth="1"/>
    <col min="25" max="25" width="1.7109375" style="1" customWidth="1"/>
    <col min="26" max="26" width="8" style="1" customWidth="1"/>
    <col min="27" max="16384" width="9.7109375" style="1"/>
  </cols>
  <sheetData>
    <row r="2" spans="2:26" ht="30" customHeight="1" x14ac:dyDescent="0.25">
      <c r="B2" s="22" t="s">
        <v>124</v>
      </c>
      <c r="C2" s="15"/>
      <c r="D2" s="13"/>
      <c r="E2" s="13"/>
      <c r="F2" s="13"/>
      <c r="G2" s="13"/>
      <c r="H2" s="13"/>
      <c r="I2" s="21"/>
      <c r="J2" s="13"/>
      <c r="K2" s="13"/>
      <c r="L2" s="13"/>
      <c r="M2" s="13"/>
      <c r="N2" s="13"/>
      <c r="O2" s="20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2:26" ht="28" customHeight="1" x14ac:dyDescent="0.2">
      <c r="B3" s="53" t="s">
        <v>36</v>
      </c>
      <c r="C3" s="130" t="s">
        <v>127</v>
      </c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2:26" ht="16.5" customHeight="1" x14ac:dyDescent="0.2">
      <c r="B4" s="4"/>
      <c r="C4" s="26" t="s">
        <v>118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2:26" ht="16.5" customHeight="1" x14ac:dyDescent="0.2">
      <c r="B5" s="4"/>
      <c r="C5" s="26" t="s">
        <v>122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2:26" ht="12.75" customHeight="1" x14ac:dyDescent="0.2">
      <c r="B6" s="19" t="s">
        <v>12</v>
      </c>
      <c r="C6" s="6" t="s">
        <v>13</v>
      </c>
      <c r="D6" s="5"/>
      <c r="E6" s="5"/>
      <c r="F6" s="5"/>
      <c r="G6" s="5"/>
      <c r="H6" s="5"/>
      <c r="I6" s="6" t="s">
        <v>14</v>
      </c>
      <c r="J6" s="5"/>
      <c r="K6" s="5"/>
      <c r="L6" s="5"/>
      <c r="M6" s="5"/>
      <c r="N6" s="5"/>
      <c r="O6" s="6" t="s">
        <v>15</v>
      </c>
      <c r="P6" s="5"/>
      <c r="Q6" s="5"/>
      <c r="R6" s="5"/>
      <c r="S6" s="5"/>
      <c r="T6" s="5"/>
      <c r="U6" s="6" t="s">
        <v>16</v>
      </c>
      <c r="V6" s="5"/>
      <c r="W6" s="5"/>
      <c r="X6" s="5"/>
      <c r="Y6" s="5"/>
      <c r="Z6" s="5"/>
    </row>
    <row r="7" spans="2:26" ht="7.5" customHeight="1" x14ac:dyDescent="0.2">
      <c r="B7" s="16"/>
      <c r="C7" s="3"/>
      <c r="D7" s="7"/>
      <c r="E7" s="7"/>
      <c r="F7" s="7"/>
      <c r="G7" s="7"/>
      <c r="H7" s="7"/>
      <c r="I7" s="3"/>
      <c r="J7" s="7"/>
      <c r="K7" s="7"/>
      <c r="L7" s="7"/>
      <c r="M7" s="7"/>
      <c r="N7" s="7"/>
      <c r="O7" s="3"/>
      <c r="P7" s="7"/>
      <c r="Q7" s="7"/>
      <c r="R7" s="7"/>
      <c r="S7" s="7"/>
      <c r="T7" s="7"/>
      <c r="U7" s="3"/>
      <c r="V7" s="7"/>
      <c r="W7" s="7"/>
      <c r="X7" s="7"/>
      <c r="Y7" s="7"/>
      <c r="Z7" s="7"/>
    </row>
    <row r="8" spans="2:26" s="25" customFormat="1" ht="15.75" customHeight="1" x14ac:dyDescent="0.2">
      <c r="B8" s="70" t="s">
        <v>0</v>
      </c>
      <c r="C8" s="86">
        <v>1</v>
      </c>
      <c r="D8" s="104" t="s">
        <v>22</v>
      </c>
      <c r="E8" s="104"/>
      <c r="F8" s="104"/>
      <c r="G8" s="104"/>
      <c r="H8" s="105"/>
      <c r="I8" s="86">
        <v>13</v>
      </c>
      <c r="J8" s="104" t="s">
        <v>80</v>
      </c>
      <c r="K8" s="104"/>
      <c r="L8" s="104"/>
      <c r="M8" s="104"/>
      <c r="N8" s="115"/>
      <c r="O8" s="96">
        <v>25</v>
      </c>
      <c r="P8" s="104" t="s">
        <v>60</v>
      </c>
      <c r="Q8" s="104"/>
      <c r="R8" s="104"/>
      <c r="S8" s="104"/>
      <c r="T8" s="115"/>
      <c r="U8" s="71">
        <v>37</v>
      </c>
      <c r="V8" s="104" t="s">
        <v>79</v>
      </c>
      <c r="W8" s="104"/>
      <c r="X8" s="104"/>
      <c r="Y8" s="104"/>
      <c r="Z8" s="115"/>
    </row>
    <row r="9" spans="2:26" s="25" customFormat="1" ht="15.75" customHeight="1" x14ac:dyDescent="0.2">
      <c r="B9" s="45" t="s">
        <v>1</v>
      </c>
      <c r="C9" s="87">
        <v>2</v>
      </c>
      <c r="D9" s="102" t="s">
        <v>11</v>
      </c>
      <c r="E9" s="102"/>
      <c r="F9" s="102"/>
      <c r="G9" s="102"/>
      <c r="H9" s="103"/>
      <c r="I9" s="87">
        <v>14</v>
      </c>
      <c r="J9" s="102" t="s">
        <v>65</v>
      </c>
      <c r="K9" s="102"/>
      <c r="L9" s="102"/>
      <c r="M9" s="102"/>
      <c r="N9" s="116"/>
      <c r="O9" s="30">
        <v>26</v>
      </c>
      <c r="P9" s="102" t="s">
        <v>81</v>
      </c>
      <c r="Q9" s="102"/>
      <c r="R9" s="102"/>
      <c r="S9" s="102"/>
      <c r="T9" s="116"/>
      <c r="U9" s="30">
        <v>38</v>
      </c>
      <c r="V9" s="102" t="s">
        <v>69</v>
      </c>
      <c r="W9" s="102"/>
      <c r="X9" s="102"/>
      <c r="Y9" s="102"/>
      <c r="Z9" s="116"/>
    </row>
    <row r="10" spans="2:26" s="25" customFormat="1" ht="15.75" customHeight="1" x14ac:dyDescent="0.2">
      <c r="B10" s="31" t="s">
        <v>2</v>
      </c>
      <c r="C10" s="88">
        <v>3</v>
      </c>
      <c r="D10" s="106" t="s">
        <v>23</v>
      </c>
      <c r="E10" s="106"/>
      <c r="F10" s="106"/>
      <c r="G10" s="106"/>
      <c r="H10" s="107"/>
      <c r="I10" s="88">
        <v>15</v>
      </c>
      <c r="J10" s="106" t="s">
        <v>67</v>
      </c>
      <c r="K10" s="106"/>
      <c r="L10" s="106"/>
      <c r="M10" s="106"/>
      <c r="N10" s="117"/>
      <c r="O10" s="32">
        <v>27</v>
      </c>
      <c r="P10" s="106" t="s">
        <v>83</v>
      </c>
      <c r="Q10" s="106"/>
      <c r="R10" s="106"/>
      <c r="S10" s="106"/>
      <c r="T10" s="117"/>
      <c r="U10" s="32">
        <v>39</v>
      </c>
      <c r="V10" s="106" t="s">
        <v>82</v>
      </c>
      <c r="W10" s="106"/>
      <c r="X10" s="106"/>
      <c r="Y10" s="106"/>
      <c r="Z10" s="117"/>
    </row>
    <row r="11" spans="2:26" s="25" customFormat="1" ht="15.75" customHeight="1" x14ac:dyDescent="0.2">
      <c r="B11" s="33" t="s">
        <v>3</v>
      </c>
      <c r="C11" s="89">
        <v>4</v>
      </c>
      <c r="D11" s="108" t="s">
        <v>64</v>
      </c>
      <c r="E11" s="108"/>
      <c r="F11" s="108"/>
      <c r="G11" s="108"/>
      <c r="H11" s="109"/>
      <c r="I11" s="89">
        <v>16</v>
      </c>
      <c r="J11" s="108" t="s">
        <v>85</v>
      </c>
      <c r="K11" s="108"/>
      <c r="L11" s="108"/>
      <c r="M11" s="108"/>
      <c r="N11" s="118"/>
      <c r="O11" s="34">
        <v>28</v>
      </c>
      <c r="P11" s="108" t="s">
        <v>84</v>
      </c>
      <c r="Q11" s="108"/>
      <c r="R11" s="108"/>
      <c r="S11" s="108"/>
      <c r="T11" s="118"/>
      <c r="U11" s="34">
        <v>40</v>
      </c>
      <c r="V11" s="108" t="s">
        <v>24</v>
      </c>
      <c r="W11" s="108"/>
      <c r="X11" s="108"/>
      <c r="Y11" s="108"/>
      <c r="Z11" s="118"/>
    </row>
    <row r="12" spans="2:26" s="25" customFormat="1" ht="15.75" customHeight="1" x14ac:dyDescent="0.2">
      <c r="B12" s="35" t="s">
        <v>17</v>
      </c>
      <c r="C12" s="90">
        <v>5</v>
      </c>
      <c r="D12" s="110" t="s">
        <v>10</v>
      </c>
      <c r="E12" s="110"/>
      <c r="F12" s="110"/>
      <c r="G12" s="110"/>
      <c r="H12" s="111"/>
      <c r="I12" s="90">
        <v>17</v>
      </c>
      <c r="J12" s="110" t="s">
        <v>66</v>
      </c>
      <c r="K12" s="110"/>
      <c r="L12" s="110"/>
      <c r="M12" s="110"/>
      <c r="N12" s="119"/>
      <c r="O12" s="36">
        <v>29</v>
      </c>
      <c r="P12" s="110" t="s">
        <v>87</v>
      </c>
      <c r="Q12" s="110"/>
      <c r="R12" s="110"/>
      <c r="S12" s="110"/>
      <c r="T12" s="119"/>
      <c r="U12" s="36">
        <v>41</v>
      </c>
      <c r="V12" s="110" t="s">
        <v>86</v>
      </c>
      <c r="W12" s="110"/>
      <c r="X12" s="110"/>
      <c r="Y12" s="110"/>
      <c r="Z12" s="119"/>
    </row>
    <row r="13" spans="2:26" s="25" customFormat="1" ht="15.75" customHeight="1" x14ac:dyDescent="0.2">
      <c r="B13" s="37" t="s">
        <v>18</v>
      </c>
      <c r="C13" s="91">
        <v>6</v>
      </c>
      <c r="D13" s="120" t="s">
        <v>63</v>
      </c>
      <c r="E13" s="120"/>
      <c r="F13" s="120"/>
      <c r="G13" s="120"/>
      <c r="H13" s="128"/>
      <c r="I13" s="91">
        <v>18</v>
      </c>
      <c r="J13" s="120" t="s">
        <v>25</v>
      </c>
      <c r="K13" s="120"/>
      <c r="L13" s="120"/>
      <c r="M13" s="120"/>
      <c r="N13" s="121"/>
      <c r="O13" s="38">
        <v>30</v>
      </c>
      <c r="P13" s="120" t="s">
        <v>88</v>
      </c>
      <c r="Q13" s="120"/>
      <c r="R13" s="120"/>
      <c r="S13" s="120"/>
      <c r="T13" s="121"/>
      <c r="U13" s="38">
        <v>42</v>
      </c>
      <c r="V13" s="120" t="s">
        <v>61</v>
      </c>
      <c r="W13" s="120"/>
      <c r="X13" s="120"/>
      <c r="Y13" s="120"/>
      <c r="Z13" s="121"/>
    </row>
    <row r="14" spans="2:26" s="25" customFormat="1" ht="15.75" customHeight="1" x14ac:dyDescent="0.2">
      <c r="B14" s="39" t="s">
        <v>19</v>
      </c>
      <c r="C14" s="92">
        <v>7</v>
      </c>
      <c r="D14" s="122" t="s">
        <v>52</v>
      </c>
      <c r="E14" s="122"/>
      <c r="F14" s="122"/>
      <c r="G14" s="122"/>
      <c r="H14" s="129"/>
      <c r="I14" s="92">
        <v>19</v>
      </c>
      <c r="J14" s="122" t="s">
        <v>89</v>
      </c>
      <c r="K14" s="122"/>
      <c r="L14" s="122"/>
      <c r="M14" s="122"/>
      <c r="N14" s="123"/>
      <c r="O14" s="40">
        <v>31</v>
      </c>
      <c r="P14" s="122" t="s">
        <v>54</v>
      </c>
      <c r="Q14" s="122"/>
      <c r="R14" s="122"/>
      <c r="S14" s="122"/>
      <c r="T14" s="123"/>
      <c r="U14" s="40">
        <v>43</v>
      </c>
      <c r="V14" s="122" t="s">
        <v>91</v>
      </c>
      <c r="W14" s="122"/>
      <c r="X14" s="122"/>
      <c r="Y14" s="122"/>
      <c r="Z14" s="123"/>
    </row>
    <row r="15" spans="2:26" s="25" customFormat="1" ht="15.75" customHeight="1" x14ac:dyDescent="0.2">
      <c r="B15" s="41" t="s">
        <v>20</v>
      </c>
      <c r="C15" s="93">
        <v>8</v>
      </c>
      <c r="D15" s="124" t="s">
        <v>8</v>
      </c>
      <c r="E15" s="124"/>
      <c r="F15" s="124"/>
      <c r="G15" s="124"/>
      <c r="H15" s="132"/>
      <c r="I15" s="93">
        <v>20</v>
      </c>
      <c r="J15" s="124" t="s">
        <v>35</v>
      </c>
      <c r="K15" s="124"/>
      <c r="L15" s="124"/>
      <c r="M15" s="124"/>
      <c r="N15" s="125"/>
      <c r="O15" s="42">
        <v>32</v>
      </c>
      <c r="P15" s="124" t="s">
        <v>59</v>
      </c>
      <c r="Q15" s="124"/>
      <c r="R15" s="124"/>
      <c r="S15" s="124"/>
      <c r="T15" s="125"/>
      <c r="U15" s="42">
        <v>44</v>
      </c>
      <c r="V15" s="124" t="s">
        <v>92</v>
      </c>
      <c r="W15" s="124"/>
      <c r="X15" s="124"/>
      <c r="Y15" s="124"/>
      <c r="Z15" s="125"/>
    </row>
    <row r="16" spans="2:26" s="25" customFormat="1" ht="15.75" customHeight="1" x14ac:dyDescent="0.2">
      <c r="B16" s="28" t="s">
        <v>73</v>
      </c>
      <c r="C16" s="94">
        <v>9</v>
      </c>
      <c r="D16" s="126" t="s">
        <v>7</v>
      </c>
      <c r="E16" s="126"/>
      <c r="F16" s="126"/>
      <c r="G16" s="126"/>
      <c r="H16" s="133"/>
      <c r="I16" s="94">
        <v>21</v>
      </c>
      <c r="J16" s="126" t="s">
        <v>94</v>
      </c>
      <c r="K16" s="126"/>
      <c r="L16" s="126"/>
      <c r="M16" s="126"/>
      <c r="N16" s="127"/>
      <c r="O16" s="29">
        <v>33</v>
      </c>
      <c r="P16" s="126" t="s">
        <v>62</v>
      </c>
      <c r="Q16" s="126"/>
      <c r="R16" s="126"/>
      <c r="S16" s="126"/>
      <c r="T16" s="127"/>
      <c r="U16" s="29">
        <v>45</v>
      </c>
      <c r="V16" s="126" t="s">
        <v>93</v>
      </c>
      <c r="W16" s="126"/>
      <c r="X16" s="126"/>
      <c r="Y16" s="126"/>
      <c r="Z16" s="127"/>
    </row>
    <row r="17" spans="2:28" s="25" customFormat="1" ht="15.75" customHeight="1" x14ac:dyDescent="0.2">
      <c r="B17" s="45" t="s">
        <v>74</v>
      </c>
      <c r="C17" s="87">
        <v>10</v>
      </c>
      <c r="D17" s="102" t="s">
        <v>21</v>
      </c>
      <c r="E17" s="102"/>
      <c r="F17" s="102"/>
      <c r="G17" s="102"/>
      <c r="H17" s="103"/>
      <c r="I17" s="87">
        <v>22</v>
      </c>
      <c r="J17" s="102" t="s">
        <v>96</v>
      </c>
      <c r="K17" s="102"/>
      <c r="L17" s="102"/>
      <c r="M17" s="102"/>
      <c r="N17" s="116"/>
      <c r="O17" s="30">
        <v>34</v>
      </c>
      <c r="P17" s="102" t="s">
        <v>95</v>
      </c>
      <c r="Q17" s="102"/>
      <c r="R17" s="102"/>
      <c r="S17" s="102"/>
      <c r="T17" s="116"/>
      <c r="U17" s="30">
        <v>46</v>
      </c>
      <c r="V17" s="102" t="s">
        <v>97</v>
      </c>
      <c r="W17" s="102"/>
      <c r="X17" s="102"/>
      <c r="Y17" s="102"/>
      <c r="Z17" s="116"/>
    </row>
    <row r="18" spans="2:28" s="25" customFormat="1" ht="15.75" customHeight="1" x14ac:dyDescent="0.2">
      <c r="B18" s="31" t="s">
        <v>75</v>
      </c>
      <c r="C18" s="88">
        <v>11</v>
      </c>
      <c r="D18" s="106" t="s">
        <v>6</v>
      </c>
      <c r="E18" s="106"/>
      <c r="F18" s="106"/>
      <c r="G18" s="106"/>
      <c r="H18" s="107"/>
      <c r="I18" s="88">
        <v>23</v>
      </c>
      <c r="J18" s="106" t="s">
        <v>100</v>
      </c>
      <c r="K18" s="106"/>
      <c r="L18" s="106"/>
      <c r="M18" s="106"/>
      <c r="N18" s="117"/>
      <c r="O18" s="32">
        <v>35</v>
      </c>
      <c r="P18" s="106" t="s">
        <v>98</v>
      </c>
      <c r="Q18" s="106"/>
      <c r="R18" s="106"/>
      <c r="S18" s="106"/>
      <c r="T18" s="117"/>
      <c r="U18" s="32">
        <v>47</v>
      </c>
      <c r="V18" s="106" t="s">
        <v>99</v>
      </c>
      <c r="W18" s="106"/>
      <c r="X18" s="106"/>
      <c r="Y18" s="106"/>
      <c r="Z18" s="117"/>
    </row>
    <row r="19" spans="2:28" s="25" customFormat="1" ht="15.75" customHeight="1" x14ac:dyDescent="0.2">
      <c r="B19" s="85" t="s">
        <v>76</v>
      </c>
      <c r="C19" s="95">
        <v>12</v>
      </c>
      <c r="D19" s="112" t="s">
        <v>9</v>
      </c>
      <c r="E19" s="112"/>
      <c r="F19" s="112"/>
      <c r="G19" s="112"/>
      <c r="H19" s="113"/>
      <c r="I19" s="95">
        <v>24</v>
      </c>
      <c r="J19" s="112" t="s">
        <v>53</v>
      </c>
      <c r="K19" s="112"/>
      <c r="L19" s="112"/>
      <c r="M19" s="112"/>
      <c r="N19" s="114"/>
      <c r="O19" s="72">
        <v>36</v>
      </c>
      <c r="P19" s="112" t="s">
        <v>68</v>
      </c>
      <c r="Q19" s="112"/>
      <c r="R19" s="112"/>
      <c r="S19" s="112"/>
      <c r="T19" s="114"/>
      <c r="U19" s="72">
        <v>48</v>
      </c>
      <c r="V19" s="112" t="s">
        <v>101</v>
      </c>
      <c r="W19" s="112"/>
      <c r="X19" s="112"/>
      <c r="Y19" s="112"/>
      <c r="Z19" s="114"/>
    </row>
    <row r="20" spans="2:28" ht="7.5" customHeight="1" x14ac:dyDescent="0.2">
      <c r="B20" s="17"/>
      <c r="C20" s="8"/>
      <c r="I20" s="2"/>
      <c r="O20" s="2"/>
      <c r="U20" s="23"/>
      <c r="V20" s="24"/>
      <c r="W20" s="24"/>
      <c r="X20" s="24"/>
      <c r="Y20" s="24"/>
      <c r="Z20" s="24"/>
    </row>
    <row r="21" spans="2:28" ht="12" customHeight="1" x14ac:dyDescent="0.2">
      <c r="B21" s="57"/>
      <c r="C21" s="46" t="s">
        <v>27</v>
      </c>
      <c r="D21" s="47"/>
      <c r="E21" s="47"/>
      <c r="F21" s="47"/>
      <c r="G21" s="47"/>
      <c r="H21" s="47"/>
      <c r="I21" s="9" t="s">
        <v>29</v>
      </c>
      <c r="J21" s="10"/>
      <c r="K21" s="10"/>
      <c r="L21" s="10"/>
      <c r="M21" s="10"/>
      <c r="N21" s="10"/>
      <c r="O21" s="9" t="s">
        <v>31</v>
      </c>
      <c r="P21" s="10"/>
      <c r="Q21" s="10"/>
      <c r="R21" s="10"/>
      <c r="S21" s="10"/>
      <c r="T21" s="10"/>
      <c r="U21" s="9" t="s">
        <v>33</v>
      </c>
      <c r="V21" s="10"/>
      <c r="W21" s="10"/>
      <c r="X21" s="10"/>
      <c r="Y21" s="10"/>
      <c r="Z21" s="10"/>
    </row>
    <row r="22" spans="2:28" ht="12" customHeight="1" x14ac:dyDescent="0.2">
      <c r="B22" s="18"/>
      <c r="C22" s="48" t="s">
        <v>28</v>
      </c>
      <c r="D22" s="49"/>
      <c r="E22" s="49"/>
      <c r="F22" s="49"/>
      <c r="G22" s="49"/>
      <c r="H22" s="49"/>
      <c r="I22" s="11" t="s">
        <v>30</v>
      </c>
      <c r="J22" s="12"/>
      <c r="K22" s="12"/>
      <c r="L22" s="12"/>
      <c r="M22" s="12"/>
      <c r="N22" s="12"/>
      <c r="O22" s="11" t="s">
        <v>32</v>
      </c>
      <c r="P22" s="12"/>
      <c r="Q22" s="12"/>
      <c r="R22" s="12"/>
      <c r="S22" s="12"/>
      <c r="T22" s="12"/>
      <c r="U22" s="11" t="s">
        <v>34</v>
      </c>
      <c r="V22" s="12"/>
      <c r="W22" s="12"/>
      <c r="X22" s="12"/>
      <c r="Y22" s="12"/>
      <c r="Z22" s="12"/>
    </row>
    <row r="23" spans="2:28" s="25" customFormat="1" ht="14.25" customHeight="1" x14ac:dyDescent="0.2">
      <c r="B23" s="39"/>
      <c r="C23" s="43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2:28" s="80" customFormat="1" ht="13.5" customHeight="1" x14ac:dyDescent="0.15">
      <c r="B24" s="76"/>
      <c r="C24" s="77"/>
      <c r="D24" s="78" t="s">
        <v>105</v>
      </c>
      <c r="E24" s="78"/>
      <c r="F24" s="78" t="s">
        <v>106</v>
      </c>
      <c r="G24" s="78"/>
      <c r="H24" s="78" t="s">
        <v>107</v>
      </c>
      <c r="I24" s="79"/>
      <c r="J24" s="78" t="s">
        <v>108</v>
      </c>
      <c r="K24" s="78"/>
      <c r="L24" s="78" t="s">
        <v>109</v>
      </c>
      <c r="M24" s="78"/>
      <c r="N24" s="78" t="s">
        <v>110</v>
      </c>
      <c r="O24" s="78"/>
      <c r="P24" s="78" t="s">
        <v>111</v>
      </c>
      <c r="Q24" s="78"/>
      <c r="R24" s="78" t="s">
        <v>112</v>
      </c>
      <c r="S24" s="78"/>
      <c r="T24" s="78" t="s">
        <v>113</v>
      </c>
      <c r="U24" s="78"/>
      <c r="V24" s="78" t="s">
        <v>114</v>
      </c>
      <c r="W24" s="78"/>
      <c r="X24" s="78" t="s">
        <v>115</v>
      </c>
      <c r="Y24" s="79"/>
      <c r="Z24" s="79" t="s">
        <v>116</v>
      </c>
    </row>
    <row r="25" spans="2:28" ht="39.75" customHeight="1" x14ac:dyDescent="0.2">
      <c r="B25" s="98" t="str">
        <f>+dbname&amp;" has selected"</f>
        <v>INSERT NAME  has selected</v>
      </c>
      <c r="C25" s="74"/>
      <c r="D25" s="50"/>
      <c r="E25" s="55"/>
      <c r="F25" s="50"/>
      <c r="G25" s="55"/>
      <c r="H25" s="50"/>
      <c r="I25" s="74"/>
      <c r="J25" s="50"/>
      <c r="K25" s="55"/>
      <c r="L25" s="50"/>
      <c r="M25" s="55"/>
      <c r="N25" s="50"/>
      <c r="O25" s="74"/>
      <c r="P25" s="50"/>
      <c r="Q25" s="55"/>
      <c r="R25" s="50"/>
      <c r="S25" s="55"/>
      <c r="T25" s="50"/>
      <c r="U25" s="74"/>
      <c r="V25" s="73"/>
      <c r="W25" s="55"/>
      <c r="X25" s="50"/>
      <c r="Y25" s="55"/>
      <c r="Z25" s="50"/>
    </row>
    <row r="26" spans="2:28" x14ac:dyDescent="0.2">
      <c r="B26" s="56"/>
      <c r="C26" s="75"/>
      <c r="D26" s="51"/>
      <c r="E26" s="51"/>
      <c r="F26" s="51"/>
      <c r="G26" s="51"/>
      <c r="H26" s="51"/>
      <c r="I26" s="75"/>
      <c r="J26" s="52"/>
      <c r="K26" s="52"/>
      <c r="L26" s="52"/>
      <c r="M26" s="52"/>
      <c r="N26" s="52"/>
      <c r="O26" s="75"/>
      <c r="P26" s="52"/>
      <c r="Q26" s="52"/>
      <c r="R26" s="52"/>
      <c r="S26" s="52"/>
      <c r="T26" s="52"/>
      <c r="U26" s="75"/>
      <c r="V26" s="52"/>
      <c r="W26" s="52"/>
      <c r="X26" s="52"/>
      <c r="Y26" s="52"/>
      <c r="Z26" s="52"/>
    </row>
    <row r="27" spans="2:28" s="84" customFormat="1" ht="17.25" customHeight="1" x14ac:dyDescent="0.15">
      <c r="B27" s="81" t="s">
        <v>117</v>
      </c>
      <c r="C27" s="82"/>
      <c r="D27" s="83" t="str">
        <f>IF(OR(D25&lt;=12,D25=""),VLOOKUP(D25,dbtable,2,FALSE),"X")</f>
        <v>TBC</v>
      </c>
      <c r="E27" s="83"/>
      <c r="F27" s="83" t="str">
        <f>IF(OR(F25&lt;=12,F25=""),VLOOKUP(F25,dbtable,2,FALSE),"X")</f>
        <v>TBC</v>
      </c>
      <c r="G27" s="83"/>
      <c r="H27" s="83" t="str">
        <f>IF(OR(H25&lt;=12,H25=""),VLOOKUP(H25,dbtable,2,FALSE),"X")</f>
        <v>TBC</v>
      </c>
      <c r="I27" s="82"/>
      <c r="J27" s="83" t="str">
        <f>IF(OR(AND(J25&lt;=24,J25&gt;12),J25=""),VLOOKUP(J25,dbtable,2),"X")</f>
        <v>TBC</v>
      </c>
      <c r="K27" s="83"/>
      <c r="L27" s="83" t="str">
        <f>IF(OR(AND(L25&lt;=24,L25&gt;12),L25=""),VLOOKUP(L25,dbtable,2),"X")</f>
        <v>TBC</v>
      </c>
      <c r="M27" s="83"/>
      <c r="N27" s="83" t="str">
        <f>IF(OR(AND(N25&lt;=24,N25&gt;12),N25=""),VLOOKUP(N25,dbtable,2),"X")</f>
        <v>TBC</v>
      </c>
      <c r="O27" s="82"/>
      <c r="P27" s="83" t="str">
        <f>IF(OR(AND(P25&lt;=36,P25&gt;24),P25=""),VLOOKUP(P25,dbtable,2),"X")</f>
        <v>TBC</v>
      </c>
      <c r="Q27" s="83"/>
      <c r="R27" s="83" t="str">
        <f>IF(OR(AND(R25&lt;=36,R25&gt;24),R25=""),VLOOKUP(R25,dbtable,2),"X")</f>
        <v>TBC</v>
      </c>
      <c r="S27" s="83"/>
      <c r="T27" s="83" t="str">
        <f>IF(OR(AND(T25&lt;=36,T25&gt;24),T25=""),VLOOKUP(T25,dbtable,2),"X")</f>
        <v>TBC</v>
      </c>
      <c r="U27" s="82"/>
      <c r="V27" s="83" t="str">
        <f>IF(OR(AND(V25&lt;=48,V25&gt;36),V25=""),VLOOKUP(V25,dbtable,2),"X")</f>
        <v>TBC</v>
      </c>
      <c r="W27" s="83"/>
      <c r="X27" s="83" t="str">
        <f>IF(OR(AND(X25&lt;=48,X25&gt;36),X25=""),VLOOKUP(X25,dbtable,2),"X")</f>
        <v>TBC</v>
      </c>
      <c r="Y27" s="83"/>
      <c r="Z27" s="83" t="str">
        <f>IF(OR(AND(Z25&lt;=48,Z25&gt;36),Z25=""),VLOOKUP(Z25,dbtable,2),"X")</f>
        <v>TBC</v>
      </c>
    </row>
    <row r="28" spans="2:28" ht="7.5" customHeight="1" x14ac:dyDescent="0.2"/>
    <row r="29" spans="2:28" ht="7.5" customHeight="1" x14ac:dyDescent="0.2"/>
    <row r="30" spans="2:28" ht="7.5" customHeight="1" x14ac:dyDescent="0.2"/>
    <row r="31" spans="2:28" ht="7.5" customHeight="1" x14ac:dyDescent="0.2"/>
    <row r="32" spans="2:28" x14ac:dyDescent="0.2">
      <c r="I32" s="134" t="s">
        <v>37</v>
      </c>
      <c r="J32" s="135"/>
      <c r="K32" s="135"/>
      <c r="L32" s="135"/>
      <c r="M32" s="135"/>
      <c r="N32" s="135"/>
      <c r="O32" s="135"/>
      <c r="P32" s="136"/>
      <c r="Q32" s="136"/>
      <c r="R32" s="136"/>
      <c r="S32" s="136"/>
      <c r="T32" s="136"/>
      <c r="U32" s="137"/>
      <c r="V32"/>
      <c r="W32"/>
      <c r="X32"/>
      <c r="Y32"/>
      <c r="Z32"/>
      <c r="AA32"/>
      <c r="AB32"/>
    </row>
    <row r="33" spans="9:28" ht="12.75" customHeight="1" x14ac:dyDescent="0.2">
      <c r="I33" s="54" t="s">
        <v>38</v>
      </c>
      <c r="J33" s="59" t="s">
        <v>119</v>
      </c>
      <c r="K33" s="59"/>
      <c r="L33" s="59"/>
      <c r="M33" s="59"/>
      <c r="N33" s="59"/>
      <c r="O33" s="61"/>
      <c r="P33" s="61"/>
      <c r="Q33" s="61"/>
      <c r="R33" s="61"/>
      <c r="S33" s="61"/>
      <c r="T33" s="61"/>
      <c r="U33" s="62"/>
      <c r="V33"/>
      <c r="W33"/>
      <c r="X33"/>
      <c r="Y33"/>
      <c r="Z33"/>
      <c r="AA33"/>
      <c r="AB33"/>
    </row>
    <row r="34" spans="9:28" ht="12.75" customHeight="1" x14ac:dyDescent="0.2">
      <c r="I34" s="54" t="s">
        <v>38</v>
      </c>
      <c r="J34" s="59" t="s">
        <v>50</v>
      </c>
      <c r="K34" s="59"/>
      <c r="L34" s="59"/>
      <c r="M34" s="59"/>
      <c r="N34" s="59"/>
      <c r="O34" s="61"/>
      <c r="P34" s="63" t="s">
        <v>40</v>
      </c>
      <c r="Q34" s="61"/>
      <c r="R34" s="63" t="s">
        <v>41</v>
      </c>
      <c r="S34" s="60"/>
      <c r="T34" s="60"/>
      <c r="U34" s="62"/>
      <c r="V34"/>
      <c r="W34"/>
      <c r="X34"/>
      <c r="Y34"/>
      <c r="Z34"/>
      <c r="AA34"/>
      <c r="AB34"/>
    </row>
    <row r="35" spans="9:28" ht="12.75" customHeight="1" x14ac:dyDescent="0.2">
      <c r="I35" s="54"/>
      <c r="J35" s="59" t="s">
        <v>13</v>
      </c>
      <c r="K35" s="59"/>
      <c r="L35" s="59"/>
      <c r="M35" s="59"/>
      <c r="N35" s="59"/>
      <c r="O35" s="61"/>
      <c r="P35" s="64" t="s">
        <v>42</v>
      </c>
      <c r="Q35" s="61"/>
      <c r="R35" s="64" t="s">
        <v>47</v>
      </c>
      <c r="S35" s="97"/>
      <c r="T35" s="97"/>
      <c r="U35" s="62"/>
      <c r="V35"/>
      <c r="W35"/>
      <c r="X35"/>
      <c r="Y35"/>
      <c r="Z35"/>
      <c r="AA35"/>
      <c r="AB35"/>
    </row>
    <row r="36" spans="9:28" ht="12.75" customHeight="1" x14ac:dyDescent="0.2">
      <c r="I36" s="54"/>
      <c r="J36" s="59" t="s">
        <v>14</v>
      </c>
      <c r="K36" s="59"/>
      <c r="L36" s="59"/>
      <c r="M36" s="59"/>
      <c r="N36" s="59"/>
      <c r="O36" s="61"/>
      <c r="P36" s="64" t="s">
        <v>43</v>
      </c>
      <c r="Q36" s="61"/>
      <c r="R36" s="64" t="s">
        <v>46</v>
      </c>
      <c r="S36" s="97"/>
      <c r="T36" s="97"/>
      <c r="U36" s="62"/>
      <c r="V36"/>
      <c r="W36"/>
      <c r="X36"/>
      <c r="Y36"/>
      <c r="Z36"/>
      <c r="AA36"/>
      <c r="AB36"/>
    </row>
    <row r="37" spans="9:28" ht="12.75" customHeight="1" x14ac:dyDescent="0.2">
      <c r="I37" s="54"/>
      <c r="J37" s="59" t="s">
        <v>15</v>
      </c>
      <c r="K37" s="59"/>
      <c r="L37" s="59"/>
      <c r="M37" s="59"/>
      <c r="N37" s="59"/>
      <c r="O37" s="61"/>
      <c r="P37" s="64" t="s">
        <v>44</v>
      </c>
      <c r="Q37" s="61"/>
      <c r="R37" s="64" t="s">
        <v>48</v>
      </c>
      <c r="S37" s="97"/>
      <c r="T37" s="97"/>
      <c r="U37" s="62"/>
      <c r="V37"/>
      <c r="W37"/>
      <c r="X37"/>
      <c r="Y37"/>
      <c r="Z37"/>
      <c r="AA37"/>
      <c r="AB37"/>
    </row>
    <row r="38" spans="9:28" ht="12.75" customHeight="1" x14ac:dyDescent="0.2">
      <c r="I38" s="54"/>
      <c r="J38" s="59" t="s">
        <v>16</v>
      </c>
      <c r="K38" s="59"/>
      <c r="L38" s="59"/>
      <c r="M38" s="59"/>
      <c r="N38" s="59"/>
      <c r="O38" s="61"/>
      <c r="P38" s="64" t="s">
        <v>45</v>
      </c>
      <c r="Q38" s="61"/>
      <c r="R38" s="64" t="s">
        <v>49</v>
      </c>
      <c r="S38" s="97"/>
      <c r="T38" s="97"/>
      <c r="U38" s="62"/>
      <c r="V38"/>
      <c r="W38"/>
      <c r="X38"/>
      <c r="Y38"/>
      <c r="Z38"/>
      <c r="AA38"/>
      <c r="AB38"/>
    </row>
    <row r="39" spans="9:28" ht="12.75" customHeight="1" x14ac:dyDescent="0.2">
      <c r="I39" s="54" t="s">
        <v>38</v>
      </c>
      <c r="J39" s="61" t="s">
        <v>55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  <c r="V39"/>
      <c r="W39"/>
      <c r="X39"/>
      <c r="Y39"/>
      <c r="Z39"/>
      <c r="AA39"/>
      <c r="AB39"/>
    </row>
    <row r="40" spans="9:28" ht="12.75" customHeight="1" x14ac:dyDescent="0.2">
      <c r="I40" s="54" t="s">
        <v>38</v>
      </c>
      <c r="J40" s="61" t="s">
        <v>123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  <c r="V40"/>
      <c r="W40"/>
      <c r="X40"/>
      <c r="Y40"/>
      <c r="Z40"/>
      <c r="AA40"/>
      <c r="AB40"/>
    </row>
    <row r="41" spans="9:28" ht="12.75" customHeight="1" x14ac:dyDescent="0.2">
      <c r="I41" s="54" t="s">
        <v>38</v>
      </c>
      <c r="J41" s="61" t="s">
        <v>120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2"/>
      <c r="V41"/>
      <c r="W41"/>
      <c r="X41"/>
      <c r="Y41"/>
      <c r="Z41"/>
      <c r="AA41"/>
      <c r="AB41"/>
    </row>
    <row r="42" spans="9:28" ht="12.75" customHeight="1" x14ac:dyDescent="0.2">
      <c r="I42" s="54" t="s">
        <v>38</v>
      </c>
      <c r="J42" s="61" t="s">
        <v>121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2"/>
      <c r="V42"/>
      <c r="W42"/>
      <c r="X42"/>
      <c r="Y42"/>
      <c r="Z42"/>
      <c r="AA42"/>
      <c r="AB42"/>
    </row>
    <row r="43" spans="9:28" ht="12.75" customHeight="1" x14ac:dyDescent="0.2">
      <c r="I43" s="54" t="s">
        <v>38</v>
      </c>
      <c r="J43" s="61" t="s">
        <v>56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2"/>
      <c r="V43"/>
      <c r="W43"/>
      <c r="X43"/>
      <c r="Y43"/>
      <c r="Z43"/>
      <c r="AA43"/>
      <c r="AB43"/>
    </row>
    <row r="44" spans="9:28" ht="12.75" customHeight="1" x14ac:dyDescent="0.2">
      <c r="I44" s="54" t="s">
        <v>38</v>
      </c>
      <c r="J44" s="61" t="s">
        <v>125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2"/>
      <c r="V44"/>
      <c r="W44"/>
      <c r="X44"/>
      <c r="Y44"/>
      <c r="Z44"/>
      <c r="AA44"/>
      <c r="AB44"/>
    </row>
    <row r="45" spans="9:28" ht="12.75" customHeight="1" x14ac:dyDescent="0.2">
      <c r="I45" s="54" t="s">
        <v>38</v>
      </c>
      <c r="J45" s="61" t="s">
        <v>39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2"/>
      <c r="V45"/>
      <c r="W45"/>
      <c r="X45"/>
      <c r="Y45"/>
      <c r="Z45"/>
      <c r="AA45"/>
      <c r="AB45"/>
    </row>
    <row r="46" spans="9:28" ht="12.75" customHeight="1" x14ac:dyDescent="0.2">
      <c r="I46" s="54" t="s">
        <v>38</v>
      </c>
      <c r="J46" s="61" t="s">
        <v>58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2"/>
      <c r="V46"/>
      <c r="W46"/>
      <c r="X46"/>
      <c r="Y46"/>
      <c r="Z46"/>
      <c r="AA46"/>
      <c r="AB46"/>
    </row>
    <row r="47" spans="9:28" ht="12.75" customHeight="1" x14ac:dyDescent="0.2">
      <c r="I47" s="54" t="s">
        <v>38</v>
      </c>
      <c r="J47" s="61" t="s">
        <v>126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2"/>
      <c r="V47"/>
      <c r="W47"/>
      <c r="X47"/>
      <c r="Y47"/>
      <c r="Z47"/>
      <c r="AA47"/>
      <c r="AB47"/>
    </row>
    <row r="48" spans="9:28" ht="12.75" customHeight="1" x14ac:dyDescent="0.2">
      <c r="I48" s="54" t="s">
        <v>38</v>
      </c>
      <c r="J48" s="61" t="s">
        <v>57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2"/>
      <c r="V48"/>
      <c r="W48"/>
      <c r="X48"/>
      <c r="Y48"/>
      <c r="Z48"/>
      <c r="AA48"/>
      <c r="AB48"/>
    </row>
    <row r="49" spans="9:28" ht="12.75" customHeight="1" x14ac:dyDescent="0.2">
      <c r="I49" s="54" t="s">
        <v>38</v>
      </c>
      <c r="J49" s="65" t="s">
        <v>51</v>
      </c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/>
      <c r="V49"/>
      <c r="W49"/>
      <c r="X49"/>
      <c r="Y49"/>
      <c r="Z49"/>
      <c r="AA49"/>
      <c r="AB49"/>
    </row>
    <row r="50" spans="9:28" ht="17" thickBot="1" x14ac:dyDescent="0.25">
      <c r="I50"/>
      <c r="J50"/>
      <c r="K50"/>
      <c r="L50"/>
      <c r="M50"/>
      <c r="N50"/>
      <c r="O50"/>
      <c r="V50"/>
      <c r="W50"/>
      <c r="X50"/>
      <c r="Y50"/>
      <c r="Z50"/>
      <c r="AA50"/>
      <c r="AB50"/>
    </row>
    <row r="51" spans="9:28" ht="25" thickBot="1" x14ac:dyDescent="0.25">
      <c r="I51" s="67" t="s">
        <v>71</v>
      </c>
      <c r="J51" s="100" t="s">
        <v>72</v>
      </c>
      <c r="V51"/>
      <c r="W51"/>
      <c r="X51"/>
      <c r="Y51"/>
      <c r="Z51"/>
      <c r="AA51"/>
      <c r="AB51"/>
    </row>
    <row r="52" spans="9:28" ht="17" thickBot="1" x14ac:dyDescent="0.25">
      <c r="I52" s="68">
        <v>1</v>
      </c>
      <c r="J52" s="101">
        <v>0.3</v>
      </c>
      <c r="K52" s="69"/>
      <c r="L52" s="69"/>
      <c r="M52" s="69"/>
      <c r="V52"/>
      <c r="W52"/>
      <c r="X52"/>
      <c r="Y52"/>
      <c r="Z52"/>
      <c r="AA52"/>
      <c r="AB52"/>
    </row>
    <row r="53" spans="9:28" ht="17" thickBot="1" x14ac:dyDescent="0.25">
      <c r="I53" s="68">
        <v>2</v>
      </c>
      <c r="J53" s="101">
        <v>0.25</v>
      </c>
      <c r="K53" s="69"/>
      <c r="L53" s="69"/>
      <c r="M53" s="69"/>
    </row>
    <row r="54" spans="9:28" ht="17" thickBot="1" x14ac:dyDescent="0.25">
      <c r="I54" s="68">
        <v>3</v>
      </c>
      <c r="J54" s="101">
        <v>0.2</v>
      </c>
      <c r="K54" s="69"/>
      <c r="L54" s="69"/>
      <c r="M54" s="69"/>
    </row>
    <row r="55" spans="9:28" ht="17" thickBot="1" x14ac:dyDescent="0.25">
      <c r="I55" s="68">
        <v>4</v>
      </c>
      <c r="J55" s="101">
        <v>0.15</v>
      </c>
      <c r="K55" s="69"/>
      <c r="L55" s="69"/>
      <c r="M55" s="69"/>
    </row>
    <row r="56" spans="9:28" ht="17" thickBot="1" x14ac:dyDescent="0.25">
      <c r="I56" s="68">
        <v>5</v>
      </c>
      <c r="J56" s="101">
        <v>0.1</v>
      </c>
      <c r="K56" s="69"/>
      <c r="L56" s="69"/>
      <c r="M56" s="69"/>
    </row>
    <row r="58" spans="9:28" x14ac:dyDescent="0.2">
      <c r="J58" s="99"/>
    </row>
  </sheetData>
  <mergeCells count="50">
    <mergeCell ref="I32:U32"/>
    <mergeCell ref="P17:T17"/>
    <mergeCell ref="P18:T18"/>
    <mergeCell ref="P19:T19"/>
    <mergeCell ref="V8:Z8"/>
    <mergeCell ref="V9:Z9"/>
    <mergeCell ref="V10:Z10"/>
    <mergeCell ref="V11:Z11"/>
    <mergeCell ref="V12:Z12"/>
    <mergeCell ref="V13:Z13"/>
    <mergeCell ref="V14:Z14"/>
    <mergeCell ref="V15:Z15"/>
    <mergeCell ref="V16:Z16"/>
    <mergeCell ref="V17:Z17"/>
    <mergeCell ref="V18:Z18"/>
    <mergeCell ref="V19:Z19"/>
    <mergeCell ref="P13:T13"/>
    <mergeCell ref="P14:T14"/>
    <mergeCell ref="P15:T15"/>
    <mergeCell ref="C3:Z3"/>
    <mergeCell ref="P16:T16"/>
    <mergeCell ref="P8:T8"/>
    <mergeCell ref="P9:T9"/>
    <mergeCell ref="P10:T10"/>
    <mergeCell ref="P11:T11"/>
    <mergeCell ref="P12:T12"/>
    <mergeCell ref="D15:H15"/>
    <mergeCell ref="D16:H16"/>
    <mergeCell ref="D18:H18"/>
    <mergeCell ref="D19:H19"/>
    <mergeCell ref="J19:N19"/>
    <mergeCell ref="J8:N8"/>
    <mergeCell ref="J9:N9"/>
    <mergeCell ref="J10:N10"/>
    <mergeCell ref="J11:N11"/>
    <mergeCell ref="J12:N12"/>
    <mergeCell ref="J13:N13"/>
    <mergeCell ref="J14:N14"/>
    <mergeCell ref="J15:N15"/>
    <mergeCell ref="J16:N16"/>
    <mergeCell ref="J17:N17"/>
    <mergeCell ref="J18:N18"/>
    <mergeCell ref="D13:H13"/>
    <mergeCell ref="D14:H14"/>
    <mergeCell ref="D17:H17"/>
    <mergeCell ref="D8:H8"/>
    <mergeCell ref="D9:H9"/>
    <mergeCell ref="D10:H10"/>
    <mergeCell ref="D11:H11"/>
    <mergeCell ref="D12:H12"/>
  </mergeCells>
  <phoneticPr fontId="0" type="noConversion"/>
  <conditionalFormatting sqref="B27:Z27">
    <cfRule type="cellIs" dxfId="151" priority="379" stopIfTrue="1" operator="equal">
      <formula>"TBC"</formula>
    </cfRule>
  </conditionalFormatting>
  <conditionalFormatting sqref="C3:D3">
    <cfRule type="expression" dxfId="150" priority="251" stopIfTrue="1">
      <formula>OR($D$25=3,$F$25=3,$H$25=3)</formula>
    </cfRule>
  </conditionalFormatting>
  <conditionalFormatting sqref="C8:D8">
    <cfRule type="expression" dxfId="149" priority="133" stopIfTrue="1">
      <formula>OR($J$25=13,$L$25=13,$N$25=13,$P$25=25,$R$25=25,$T$25=25,$V$25=37,$X$25=37,$Z$25=37)</formula>
    </cfRule>
    <cfRule type="expression" dxfId="148" priority="134" stopIfTrue="1">
      <formula>AND(NOT(ISBLANK($D$25)),NOT(ISBLANK($F$25)),NOT(ISBLANK($H$25)),$D$25&lt;&gt;1,$F$25&lt;&gt;1,$H$25&lt;&gt;1)</formula>
    </cfRule>
    <cfRule type="expression" dxfId="147" priority="135" stopIfTrue="1">
      <formula>OR($D$25=1,$F$25=1,$H$25=1)</formula>
    </cfRule>
  </conditionalFormatting>
  <conditionalFormatting sqref="C9:D9">
    <cfRule type="expression" dxfId="146" priority="250" stopIfTrue="1">
      <formula>OR($D$25=2,$F$25=2,$H$25=2)</formula>
    </cfRule>
    <cfRule type="expression" dxfId="145" priority="178" stopIfTrue="1">
      <formula>OR($J$25=14,$L$25=14,$N$25=14,$P$25=26,$R$25=26,$T$25=26,$V$25=38,$X$25=38,$Z$25=38)</formula>
    </cfRule>
    <cfRule type="expression" dxfId="144" priority="241" stopIfTrue="1">
      <formula>AND(NOT(ISBLANK($D$25)),NOT(ISBLANK($F$25)),NOT(ISBLANK($H$25)),$D$25&lt;&gt;2,$F$25&lt;&gt;2,$H$25&lt;&gt;2)</formula>
    </cfRule>
  </conditionalFormatting>
  <conditionalFormatting sqref="C10:D10">
    <cfRule type="expression" dxfId="143" priority="229" stopIfTrue="1">
      <formula>OR($J$25=15,$L$25=15,$N$25=15,$P$25=27,$R$25=27,$T$25=27,$V$25=39,$X$25=39,$Z$25=39)</formula>
    </cfRule>
    <cfRule type="expression" dxfId="142" priority="242" stopIfTrue="1">
      <formula>OR($D$25=3,$F$25=3,$H$25=3)</formula>
    </cfRule>
    <cfRule type="expression" dxfId="141" priority="240" stopIfTrue="1">
      <formula>AND(NOT(ISBLANK($D$25)),NOT(ISBLANK($F$25)),NOT(ISBLANK($H$25)),$D$25&lt;&gt;3,$F$25&lt;&gt;3,$H$25&lt;&gt;3)</formula>
    </cfRule>
  </conditionalFormatting>
  <conditionalFormatting sqref="C11:D11">
    <cfRule type="expression" dxfId="140" priority="252" stopIfTrue="1">
      <formula>OR($D$25=4,$F$25=4,$H$25=4)</formula>
    </cfRule>
    <cfRule type="expression" dxfId="139" priority="239" stopIfTrue="1">
      <formula>AND(NOT(ISBLANK($D$25)),NOT(ISBLANK($F$25)),NOT(ISBLANK($H$25)),$D$25&lt;&gt;4,$F$25&lt;&gt;4,$H$25&lt;&gt;4)</formula>
    </cfRule>
    <cfRule type="expression" dxfId="138" priority="228" stopIfTrue="1">
      <formula>OR($J$25=16,$L$25=16,$N$25=16,$P$25=28,$R$25=28,$T$25=28,$V$25=40,$X$25=40,$Z$25=40)</formula>
    </cfRule>
  </conditionalFormatting>
  <conditionalFormatting sqref="C12:D12">
    <cfRule type="expression" dxfId="137" priority="253" stopIfTrue="1">
      <formula>OR($D$25=5,$F$25=5,$H$25=5)</formula>
    </cfRule>
    <cfRule type="expression" dxfId="136" priority="238" stopIfTrue="1">
      <formula>AND(NOT(ISBLANK($D$25)),NOT(ISBLANK($F$25)),NOT(ISBLANK($H$25)),$D$25&lt;&gt;5,$F$25&lt;&gt;5,$H$25&lt;&gt;5)</formula>
    </cfRule>
    <cfRule type="expression" dxfId="135" priority="227" stopIfTrue="1">
      <formula>OR($J$25=17,$L$25=17,$N$25=17,$P$25=29,$R$25=29,$T$25=29,$V$25=41,$X$25=41,$Z$25=41)</formula>
    </cfRule>
  </conditionalFormatting>
  <conditionalFormatting sqref="C13:D13">
    <cfRule type="expression" dxfId="134" priority="237" stopIfTrue="1">
      <formula>AND(NOT(ISBLANK($D$25)),NOT(ISBLANK($F$25)),NOT(ISBLANK($H$25)),$D$25&lt;&gt;6,$F$25&lt;&gt;6,$H$25&lt;&gt;6)</formula>
    </cfRule>
    <cfRule type="expression" dxfId="133" priority="226" stopIfTrue="1">
      <formula>OR($J$25=18,$L$25=18,$N$25=18,$P$25=30,$R$25=30,$T$25=30,$V$25=42,$X$25=42,$Z$25=42)</formula>
    </cfRule>
    <cfRule type="expression" dxfId="132" priority="254" stopIfTrue="1">
      <formula>OR($D$25=6,$F$25=6,$H$25=6)</formula>
    </cfRule>
  </conditionalFormatting>
  <conditionalFormatting sqref="C14:D14">
    <cfRule type="expression" dxfId="131" priority="255" stopIfTrue="1">
      <formula>OR($D$25=7,$F$25=7,$H$25=7)</formula>
    </cfRule>
    <cfRule type="expression" dxfId="130" priority="225" stopIfTrue="1">
      <formula>OR($J$25=19,$L$25=19,$N$25=19,$P$25=31,$R$25=31,$T$25=31,$V$25=43,$X$25=43,$Z$25=43)</formula>
    </cfRule>
    <cfRule type="expression" dxfId="129" priority="236" stopIfTrue="1">
      <formula>AND(NOT(ISBLANK($D$25)),NOT(ISBLANK($F$25)),NOT(ISBLANK($H$25)),$D$25&lt;&gt;7,$F$25&lt;&gt;7,$H$25&lt;&gt;7)</formula>
    </cfRule>
  </conditionalFormatting>
  <conditionalFormatting sqref="C15:D15">
    <cfRule type="expression" dxfId="128" priority="235" stopIfTrue="1">
      <formula>AND(NOT(ISBLANK($D$25)),NOT(ISBLANK($F$25)),NOT(ISBLANK($H$25)),$D$25&lt;&gt;8,$F$25&lt;&gt;8,$H$25&lt;&gt;8)</formula>
    </cfRule>
    <cfRule type="expression" dxfId="127" priority="256" stopIfTrue="1">
      <formula>OR($D$25=8,$F$25=8,$H$25=8)</formula>
    </cfRule>
    <cfRule type="expression" dxfId="126" priority="224" stopIfTrue="1">
      <formula>OR($J$25=20,$L$25=20,$N$25=20,$P$25=32,$R$25=32,$T$25=32,$V$25=44,$X$25=44,$Z$25=44)</formula>
    </cfRule>
  </conditionalFormatting>
  <conditionalFormatting sqref="C16:D16">
    <cfRule type="expression" dxfId="125" priority="223" stopIfTrue="1">
      <formula>OR($J$25=21,$L$25=21,$N$25=21,$P$25=33,$R$25=33,$T$25=33,$V$25=45,$X$25=45,$Z$25=45)</formula>
    </cfRule>
    <cfRule type="expression" dxfId="124" priority="249" stopIfTrue="1">
      <formula>OR($D$25=9,$F$25=9,$H$25=9)</formula>
    </cfRule>
    <cfRule type="expression" dxfId="123" priority="234" stopIfTrue="1">
      <formula>AND(NOT(ISBLANK($D$25)),NOT(ISBLANK($F$25)),NOT(ISBLANK($H$25)),$D$25&lt;&gt;9,$F$25&lt;&gt;9,$H$25&lt;&gt;9)</formula>
    </cfRule>
  </conditionalFormatting>
  <conditionalFormatting sqref="C17:D17">
    <cfRule type="expression" dxfId="122" priority="233" stopIfTrue="1">
      <formula>AND(NOT(ISBLANK($D$25)),NOT(ISBLANK($F$25)),NOT(ISBLANK($H$25)),$D$25&lt;&gt;10,$F$25&lt;&gt;10,$H$25&lt;&gt;10)</formula>
    </cfRule>
    <cfRule type="expression" dxfId="121" priority="246" stopIfTrue="1">
      <formula>OR($D$25=10,$F$25=10,$H$25=10)</formula>
    </cfRule>
    <cfRule type="expression" dxfId="120" priority="222" stopIfTrue="1">
      <formula>OR($J$25=22,$L$25=22,$N$25=22,$P$25=34,$R$25=34,$T$25=34,$V$25=46,$X$25=46,$Z$25=46)</formula>
    </cfRule>
  </conditionalFormatting>
  <conditionalFormatting sqref="C18:D18">
    <cfRule type="expression" dxfId="119" priority="232" stopIfTrue="1">
      <formula>AND(NOT(ISBLANK($D$25)),NOT(ISBLANK($F$25)),NOT(ISBLANK($H$25)),$D$25&lt;&gt;11,$F$25&lt;&gt;11,$H$25&lt;&gt;11)</formula>
    </cfRule>
    <cfRule type="expression" dxfId="118" priority="221" stopIfTrue="1">
      <formula>OR($J$25=23,$L$25=23,$N$25=23,$P$25=35,$R$25=35,$T$25=35,$V$25=47,$X$25=47,$Z$25=47)</formula>
    </cfRule>
    <cfRule type="expression" dxfId="117" priority="247" stopIfTrue="1">
      <formula>OR($D$25=11,$F$25=11,$H$25=11)</formula>
    </cfRule>
  </conditionalFormatting>
  <conditionalFormatting sqref="C19:D19">
    <cfRule type="expression" dxfId="116" priority="231" stopIfTrue="1">
      <formula>AND(NOT(ISBLANK($D$25)),NOT(ISBLANK($F$25)),NOT(ISBLANK($H$25)),$D$25&lt;&gt;12,$F$25&lt;&gt;12,$H$25&lt;&gt;12)</formula>
    </cfRule>
    <cfRule type="expression" dxfId="115" priority="220" stopIfTrue="1">
      <formula>OR($J$25=24,$L$25=24,$N$25=24,$P$25=36,$R$25=36,$T$25=36,$V$25=48,$X$25=48,$Z$25=48)</formula>
    </cfRule>
    <cfRule type="expression" dxfId="114" priority="248" stopIfTrue="1">
      <formula>OR($D$25=12,$F$25=12,$H$25=12)</formula>
    </cfRule>
  </conditionalFormatting>
  <conditionalFormatting sqref="I8:J8">
    <cfRule type="expression" dxfId="113" priority="89" stopIfTrue="1">
      <formula>AND(NOT(ISBLANK($J$25)),NOT(ISBLANK($L$25)),NOT(ISBLANK($N$25)),$J$25&lt;&gt;13,$L$25&lt;&gt;13,$N$25&lt;&gt;13)</formula>
    </cfRule>
    <cfRule type="expression" dxfId="112" priority="90" stopIfTrue="1">
      <formula>OR($J$25=13,$L$25=13,$N$25=13)</formula>
    </cfRule>
    <cfRule type="expression" dxfId="111" priority="88" stopIfTrue="1">
      <formula>OR($D$25=1,$F$25=1,$H$25=1,$P$25=25,$R$25=25,$T$25=25,$V$25=37,$X$25=37,$Z$25=37)</formula>
    </cfRule>
  </conditionalFormatting>
  <conditionalFormatting sqref="I9:J9">
    <cfRule type="expression" dxfId="110" priority="91" stopIfTrue="1">
      <formula>OR($D$25=2,$F$25=2,$H$25=2,$P$25=26,$R$25=26,$T$25=26,$V$25=38,$X$25=38,$Z$25=38)</formula>
    </cfRule>
    <cfRule type="expression" dxfId="109" priority="118" stopIfTrue="1">
      <formula>OR($J$25=14,$L$25=14,$N$25=14)</formula>
    </cfRule>
    <cfRule type="expression" dxfId="108" priority="112" stopIfTrue="1">
      <formula>AND(NOT(ISBLANK($J$25)),NOT(ISBLANK($L$25)),NOT(ISBLANK($N$25)),$J$25&lt;&gt;14,$L$25&lt;&gt;14,$N$25&lt;&gt;14)</formula>
    </cfRule>
  </conditionalFormatting>
  <conditionalFormatting sqref="I10:J10">
    <cfRule type="expression" dxfId="107" priority="68" stopIfTrue="1">
      <formula>AND(NOT(ISBLANK($J$25)),NOT(ISBLANK($L$25)),NOT(ISBLANK($N$25)),$L$25&lt;&gt;15,$J$25&lt;&gt;15,$N$25&lt;&gt;15)</formula>
    </cfRule>
    <cfRule type="expression" dxfId="106" priority="69" stopIfTrue="1">
      <formula>OR($J$25=15,$L$25=15,$N$25=15)</formula>
    </cfRule>
    <cfRule type="expression" dxfId="105" priority="67" stopIfTrue="1">
      <formula>OR($D$25=3,$F$25=3,$H$25=3,$P$25=27,$R$25=27,$T$25=27,$V$25=39,$X$25=39,$Z$25=39)</formula>
    </cfRule>
  </conditionalFormatting>
  <conditionalFormatting sqref="I11:J11">
    <cfRule type="expression" dxfId="104" priority="110" stopIfTrue="1">
      <formula>AND(NOT(ISBLANK($J$25)),NOT(ISBLANK($L$25)),NOT(ISBLANK($N$25)),$J$25&lt;&gt;16,$L$25&lt;&gt;16,$N$25&lt;&gt;16)</formula>
    </cfRule>
    <cfRule type="expression" dxfId="103" priority="100" stopIfTrue="1">
      <formula>OR($D$25=4,$F$25=4,$H$25=4,$P$25=28,$R$25=28,$T$25=28,$V$25=40,$X$25=40,$Z$25=40)</formula>
    </cfRule>
    <cfRule type="expression" dxfId="102" priority="119" stopIfTrue="1">
      <formula>OR($J$25=16,$L$25=16,$N$25=16)</formula>
    </cfRule>
  </conditionalFormatting>
  <conditionalFormatting sqref="I12:J12">
    <cfRule type="expression" dxfId="101" priority="99" stopIfTrue="1">
      <formula>OR($D$25=5,$F$25=5,$H$25=5,$P$25=29,$R$25=29,$T$25=29,$V$25=41,$X$25=41,$Z$25=41)</formula>
    </cfRule>
    <cfRule type="expression" dxfId="100" priority="120" stopIfTrue="1">
      <formula>OR($J$25=17,$L$25=17,$N$25=17)</formula>
    </cfRule>
    <cfRule type="expression" dxfId="99" priority="109" stopIfTrue="1">
      <formula>AND(NOT(ISBLANK($J$25)),NOT(ISBLANK($L$25)),NOT(ISBLANK($N$25)),$J$25&lt;&gt;17,$L$25&lt;&gt;17,$N$25&lt;&gt;17)</formula>
    </cfRule>
  </conditionalFormatting>
  <conditionalFormatting sqref="I13:J13">
    <cfRule type="expression" dxfId="98" priority="121" stopIfTrue="1">
      <formula>OR($J$25=18,$L$25=18,$N$25=18)</formula>
    </cfRule>
    <cfRule type="expression" dxfId="97" priority="108" stopIfTrue="1">
      <formula>AND(NOT(ISBLANK($L$25)),NOT(ISBLANK($J$25)),NOT(ISBLANK($N$25)),$J$25&lt;&gt;18,$L$25&lt;&gt;18,$N$25&lt;&gt;18)</formula>
    </cfRule>
    <cfRule type="expression" dxfId="96" priority="98" stopIfTrue="1">
      <formula>OR($D$25=6,$F$25=6,$H$25=6,$P$25=30,$R$25=30,$T$25=30,$V$25=42,$X$25=42,$Z$25=42)</formula>
    </cfRule>
  </conditionalFormatting>
  <conditionalFormatting sqref="I14:J14">
    <cfRule type="expression" dxfId="95" priority="107" stopIfTrue="1">
      <formula>AND(NOT(ISBLANK($J$25)),NOT(ISBLANK($L$25)),NOT(ISBLANK($N$25)),$J$25&lt;&gt;19,$L$25&lt;&gt;19,$N$25&lt;&gt;19)</formula>
    </cfRule>
    <cfRule type="expression" dxfId="94" priority="122" stopIfTrue="1">
      <formula>OR($J$25=19,$L$25=19,$N$25=19)</formula>
    </cfRule>
    <cfRule type="expression" dxfId="93" priority="97" stopIfTrue="1">
      <formula>OR($D$25=7,$F$25=7,$H$25=7,$P$25=31,$R$25=31,$T$25=31,$V$25=43,$X$25=43,$Z$25=43)</formula>
    </cfRule>
  </conditionalFormatting>
  <conditionalFormatting sqref="I15:J15">
    <cfRule type="expression" dxfId="92" priority="106" stopIfTrue="1">
      <formula>AND(NOT(ISBLANK($J$25)),NOT(ISBLANK($L$25)),NOT(ISBLANK($N$25)),$J$25&lt;&gt;20,$L$25&lt;&gt;20,$N$25&lt;&gt;20)</formula>
    </cfRule>
    <cfRule type="expression" dxfId="91" priority="96" stopIfTrue="1">
      <formula>OR($D$25=8,$F$25=8,$H$25=8,$P$25=32,$R$25=32,$T$25=32,$V$25=44,$X$25=44,$Z$25=44)</formula>
    </cfRule>
    <cfRule type="expression" dxfId="90" priority="123" stopIfTrue="1">
      <formula>OR($J$25=20,$L$25=20,$N$25=20)</formula>
    </cfRule>
  </conditionalFormatting>
  <conditionalFormatting sqref="I16:J16">
    <cfRule type="expression" dxfId="89" priority="117" stopIfTrue="1">
      <formula>OR($J$25=21,$L$25=21,$N$25=21)</formula>
    </cfRule>
    <cfRule type="expression" dxfId="88" priority="95" stopIfTrue="1">
      <formula>OR($D$25=9,$F$25=9,$H$25=9,$P$25=33,$R$25=33,$T$25=33,$V$25=45,$X$25=45,$Z$25=45)</formula>
    </cfRule>
    <cfRule type="expression" dxfId="87" priority="105" stopIfTrue="1">
      <formula>AND(NOT(ISBLANK($J$25)),NOT(ISBLANK($L$25)),NOT(ISBLANK($N$25)),$J$25&lt;&gt;21,$L$25&lt;&gt;21,$N$25&lt;&gt;21)</formula>
    </cfRule>
  </conditionalFormatting>
  <conditionalFormatting sqref="I17:J17">
    <cfRule type="expression" dxfId="86" priority="114" stopIfTrue="1">
      <formula>OR($J$25=22,$L$25=22,$N$25=22)</formula>
    </cfRule>
    <cfRule type="expression" dxfId="85" priority="104" stopIfTrue="1">
      <formula>AND(NOT(ISBLANK($J$25)),NOT(ISBLANK($L$25)),NOT(ISBLANK($N$25)),$J$25&lt;&gt;22,$L$25&lt;&gt;22,$N$25&lt;&gt;22)</formula>
    </cfRule>
    <cfRule type="expression" dxfId="84" priority="94" stopIfTrue="1">
      <formula>OR($D$25=10,$F$25=10,$H$25=10,$P$25=34,$R$25=34,$T$25=34,$V$25=46,$X$25=46,$Z$25=46)</formula>
    </cfRule>
  </conditionalFormatting>
  <conditionalFormatting sqref="I18:J18">
    <cfRule type="expression" dxfId="83" priority="115" stopIfTrue="1">
      <formula>OR($J$25=23,$L$25=23,$N$25=23)</formula>
    </cfRule>
    <cfRule type="expression" dxfId="82" priority="103" stopIfTrue="1">
      <formula>AND(NOT(ISBLANK($J$25)),NOT(ISBLANK($L$25)),NOT(ISBLANK($N$25)),$J$25&lt;&gt;23,$L$25&lt;&gt;23,$N$25&lt;&gt;23)</formula>
    </cfRule>
    <cfRule type="expression" dxfId="81" priority="93" stopIfTrue="1">
      <formula>OR($D$25=11,$F$25=11,$H$25=11,$P$25=35,$R$25=35,$T$25=35,$V$25=47,$X$25=47,$Z$25=47)</formula>
    </cfRule>
  </conditionalFormatting>
  <conditionalFormatting sqref="I19:J19">
    <cfRule type="expression" dxfId="80" priority="102" stopIfTrue="1">
      <formula>AND(NOT(ISBLANK($J$25)),NOT(ISBLANK($L$25)),NOT(ISBLANK($N$25)),$L$25&lt;&gt;24,$J$25&lt;&gt;24,$N$25&lt;&gt;24)</formula>
    </cfRule>
    <cfRule type="expression" dxfId="79" priority="116" stopIfTrue="1">
      <formula>OR($J$25=24,$L$25=24,$N$25=24)</formula>
    </cfRule>
    <cfRule type="expression" dxfId="78" priority="92" stopIfTrue="1">
      <formula>OR($D$25=12,$F$25=12,$H$25=12,$P$25=36,$R$25=36,$T$25=36,$V$25=48,$X$25=48,$Z$25=48)</formula>
    </cfRule>
  </conditionalFormatting>
  <conditionalFormatting sqref="J10">
    <cfRule type="expression" dxfId="77" priority="111" stopIfTrue="1">
      <formula>AND(NOT(ISBLANK($J$25)),NOT(ISBLANK($L$25)),NOT(ISBLANK($N$25)),$J$25&lt;&gt;15,$N$25&lt;&gt;15,$L$25&lt;&gt;15)</formula>
    </cfRule>
    <cfRule type="expression" dxfId="76" priority="113" stopIfTrue="1">
      <formula>OR($J$25=15,$L$25=15,$N$25=15)</formula>
    </cfRule>
    <cfRule type="expression" dxfId="75" priority="101" stopIfTrue="1">
      <formula>OR($D$25=3,$F$25=3,$H$25=3,$P$25=27,$R$25=27,$T$25=27,$V$25=39,$X$25=39,$Z$25=39)</formula>
    </cfRule>
  </conditionalFormatting>
  <conditionalFormatting sqref="O8:P8">
    <cfRule type="expression" dxfId="74" priority="1" stopIfTrue="1">
      <formula>OR($J$25=13,$L$25=13,$N$25=13,$D$25=1,$F$25=1,$H$25=1,$V$25=37,$X$25=37,$Z$25=37)</formula>
    </cfRule>
    <cfRule type="expression" dxfId="73" priority="2" stopIfTrue="1">
      <formula>AND(NOT(ISBLANK($P$25)),NOT(ISBLANK($R$25)),NOT(ISBLANK($T$25)),$P$25&lt;25,$T$25&lt;&gt;25,$R$25&lt;&gt;25)</formula>
    </cfRule>
    <cfRule type="expression" dxfId="72" priority="3" stopIfTrue="1">
      <formula>OR($P$25=25,$R$25=25,$T$25=25)</formula>
    </cfRule>
  </conditionalFormatting>
  <conditionalFormatting sqref="O9:P9">
    <cfRule type="expression" dxfId="71" priority="84" stopIfTrue="1">
      <formula>OR($P$25=26,$R$25=26,$T$25=26)</formula>
    </cfRule>
    <cfRule type="expression" dxfId="70" priority="83" stopIfTrue="1">
      <formula>AND(NOT(ISBLANK($P$25)),NOT(ISBLANK($R$25)),NOT(ISBLANK($T$25)),$P$25&lt;&gt;26,$R$25&lt;&gt;26,$T$25&lt;&gt;26)</formula>
    </cfRule>
    <cfRule type="expression" dxfId="69" priority="82" stopIfTrue="1">
      <formula>OR($D$25=2,$F$25=2,$H$25=2,$J$25=14,$L$25=14,$N$25=14,$V$25=38,$X$25=38,$Z$25=38)</formula>
    </cfRule>
  </conditionalFormatting>
  <conditionalFormatting sqref="O10:P10">
    <cfRule type="expression" dxfId="68" priority="81" stopIfTrue="1">
      <formula>OR($P$25=27,$R$25=27,$T$25=27)</formula>
    </cfRule>
    <cfRule type="expression" dxfId="67" priority="80" stopIfTrue="1">
      <formula>AND(NOT(ISBLANK($P$25)),NOT(ISBLANK($R$25)),NOT(ISBLANK($T$25)),$P$25&lt;&gt;27,$R$25&lt;&gt;27,$T$25&lt;&gt;27)</formula>
    </cfRule>
    <cfRule type="expression" dxfId="66" priority="79" stopIfTrue="1">
      <formula>OR($J$25=15,$L$25=15,$N$25=15,$D$25=3,$F$25=3,$H$25=3,$V$25=39,$X$25=39,$Z$25=39)</formula>
    </cfRule>
  </conditionalFormatting>
  <conditionalFormatting sqref="O11:P11">
    <cfRule type="expression" dxfId="65" priority="78" stopIfTrue="1">
      <formula>OR($P$25=28,$R$25=28,$T$25=28)</formula>
    </cfRule>
    <cfRule type="expression" dxfId="64" priority="77" stopIfTrue="1">
      <formula>AND(NOT(ISBLANK($P$25)),NOT(ISBLANK($R$25)),NOT(ISBLANK($T$25)),$P$25&lt;&gt;28,$R$25&lt;&gt;28,$T$25&lt;&gt;28)</formula>
    </cfRule>
    <cfRule type="expression" dxfId="63" priority="76" stopIfTrue="1">
      <formula>OR($J$25=16,$L$25=16,$N$25=16,$D$25=4,$F$25=4,$H$25=4,$V$25=40,$X$25=40,$Z$25=40)</formula>
    </cfRule>
  </conditionalFormatting>
  <conditionalFormatting sqref="O12:P12">
    <cfRule type="expression" dxfId="62" priority="75" stopIfTrue="1">
      <formula>OR($P$25=29,$R$25=29,$T$25=29)</formula>
    </cfRule>
    <cfRule type="expression" dxfId="61" priority="74" stopIfTrue="1">
      <formula>AND(NOT(ISBLANK($P$25)),NOT(ISBLANK($R$25)),NOT(ISBLANK($T$25)),$P$25&lt;&gt;29,$R$25&lt;&gt;29,$T$25&lt;&gt;29)</formula>
    </cfRule>
    <cfRule type="expression" dxfId="60" priority="73" stopIfTrue="1">
      <formula>OR($J$25=17,$L$25=17,$N$25=17,$D$25=5,$F$25=5,$H$25=5,$V$25=41,$X$25=41,$Z$25=41)</formula>
    </cfRule>
  </conditionalFormatting>
  <conditionalFormatting sqref="O13:P13">
    <cfRule type="expression" dxfId="59" priority="72" stopIfTrue="1">
      <formula>OR($P$25=30,$R$25=30,$T$25=30)</formula>
    </cfRule>
    <cfRule type="expression" dxfId="58" priority="71" stopIfTrue="1">
      <formula>AND(NOT(ISBLANK($P$25)),NOT(ISBLANK($R$25)),NOT(ISBLANK($T$25)),$P$25&lt;&gt;30,$R$25&lt;&gt;30,$T$25&lt;&gt;30)</formula>
    </cfRule>
    <cfRule type="expression" dxfId="57" priority="70" stopIfTrue="1">
      <formula>OR($J$25=18,$L$25=18,$N$25=18,$D$25=6,$F$25=6,$H$25=6,$V$25=42,$X$25=42,$Z$25=42)</formula>
    </cfRule>
  </conditionalFormatting>
  <conditionalFormatting sqref="O14:P14">
    <cfRule type="expression" dxfId="56" priority="56" stopIfTrue="1">
      <formula>OR($J$25=19,$L$25=19,$N$25=19,$D$25=7,$F$25=7,$H$25=7,$V$25=43,$X$25=43,$Z$25=43)</formula>
    </cfRule>
    <cfRule type="expression" dxfId="55" priority="59" stopIfTrue="1">
      <formula>OR($P$25=31,$R$25=31,$T$25=31)</formula>
    </cfRule>
    <cfRule type="expression" dxfId="54" priority="58" stopIfTrue="1">
      <formula>AND(NOT(ISBLANK($P$25)),NOT(ISBLANK($R$25)),NOT(ISBLANK($T$25)),$P$25&lt;&gt;31,$R$25&lt;&gt;31,$T$25&lt;&gt;31)</formula>
    </cfRule>
  </conditionalFormatting>
  <conditionalFormatting sqref="O15:P15">
    <cfRule type="expression" dxfId="53" priority="57" stopIfTrue="1">
      <formula>AND(NOT(ISBLANK($P$25)),NOT(ISBLANK($R$25)),NOT(ISBLANK($T$25)),$P$25&lt;&gt;32,$R$25&lt;&gt;32,$T$25&lt;&gt;32)</formula>
    </cfRule>
    <cfRule type="expression" dxfId="52" priority="55" stopIfTrue="1">
      <formula>OR($J$25=20,$L$25=20,$N$25=20,$D$25=8,$F$25=8,$H$25=8,$V$25=44,$X$25=44,$Z$25=44)</formula>
    </cfRule>
    <cfRule type="expression" dxfId="51" priority="60" stopIfTrue="1">
      <formula>OR($P$25=32,$R$25=32,$T$25=32)</formula>
    </cfRule>
  </conditionalFormatting>
  <conditionalFormatting sqref="O16:P16">
    <cfRule type="expression" dxfId="50" priority="54" stopIfTrue="1">
      <formula>OR($P$25=33,$R$25=33,$T$25=33)</formula>
    </cfRule>
    <cfRule type="expression" dxfId="49" priority="53" stopIfTrue="1">
      <formula>AND(NOT(ISBLANK($P$25)),NOT(ISBLANK($R$25)),NOT(ISBLANK($T$25)),$P$25&lt;&gt;33,$R$25&lt;&gt;33,$T$25&lt;&gt;33)</formula>
    </cfRule>
    <cfRule type="expression" dxfId="48" priority="52" stopIfTrue="1">
      <formula>OR($J$25=21,$L$25=21,$N$25=21,$D$25=9,$F$25=9,$H$25=9,$V$25=45,$X$25=45,$Z$25=45)</formula>
    </cfRule>
  </conditionalFormatting>
  <conditionalFormatting sqref="O17:P17">
    <cfRule type="expression" dxfId="47" priority="51" stopIfTrue="1">
      <formula>OR($P$25=34,$R$25=34,$T$25=34)</formula>
    </cfRule>
    <cfRule type="expression" dxfId="46" priority="50" stopIfTrue="1">
      <formula>AND(NOT(ISBLANK($P$25)),NOT(ISBLANK($R$25)),NOT(ISBLANK($T$25)),$P$25&lt;&gt;34,$R$25&lt;&gt;34,$T$25&lt;&gt;34)</formula>
    </cfRule>
    <cfRule type="expression" dxfId="45" priority="49" stopIfTrue="1">
      <formula>OR($J$25=22,$L$25=22,$N$25=22,$D$25=10,$F$25=10,$H$25=10,$V$25=46,$X$25=46,$Z$25=46)</formula>
    </cfRule>
  </conditionalFormatting>
  <conditionalFormatting sqref="O18:P18">
    <cfRule type="expression" dxfId="44" priority="48" stopIfTrue="1">
      <formula>OR($P$25=35,$R$25=35,$T$25=35)</formula>
    </cfRule>
    <cfRule type="expression" dxfId="43" priority="47" stopIfTrue="1">
      <formula>AND(NOT(ISBLANK($P$25)),NOT(ISBLANK($R$25)),NOT(ISBLANK($T$25)),$P$25&lt;&gt;35,$R$25&lt;&gt;35,$T$25&lt;&gt;35)</formula>
    </cfRule>
    <cfRule type="expression" dxfId="42" priority="46" stopIfTrue="1">
      <formula>OR($J$25=23,$L$25=23,$N$25=23,$D$25=11,$F$25=11,$H$25=11,$V$25=47,$X$25=47,$Z$25=47)</formula>
    </cfRule>
  </conditionalFormatting>
  <conditionalFormatting sqref="O19:P19">
    <cfRule type="expression" dxfId="41" priority="45" stopIfTrue="1">
      <formula>OR($P$25=36,$R$25=36,$T$25=36)</formula>
    </cfRule>
    <cfRule type="expression" dxfId="40" priority="44" stopIfTrue="1">
      <formula>AND(NOT(ISBLANK($P$25)),NOT(ISBLANK($R$25)),NOT(ISBLANK($T$25)),$P$25&lt;&gt;36,$R$25&lt;&gt;36,$T$25&lt;&gt;36)</formula>
    </cfRule>
    <cfRule type="expression" dxfId="39" priority="43" stopIfTrue="1">
      <formula>OR($J$25=24,$L$25=24,$N$25=24,$D$25=12,$F$25=12,$H$25=12,$V$25=48,$X$25=48,$Z$25=48)</formula>
    </cfRule>
  </conditionalFormatting>
  <conditionalFormatting sqref="P8">
    <cfRule type="expression" dxfId="38" priority="127" stopIfTrue="1">
      <formula>OR($J$25=13,$L$25=13,$N$25=13,$D$25=1,$F$25=1,$H$25=1,$V$25=37,$X$25=37,$Z$25=37)</formula>
    </cfRule>
    <cfRule type="expression" dxfId="37" priority="128" stopIfTrue="1">
      <formula>AND(NOT(ISBLANK($P$25)),NOT(ISBLANK($R$25)),NOT(ISBLANK($T$25)),$P$25&lt;&gt;25,$R$25&lt;&gt;25,$T$25&lt;&gt;25)</formula>
    </cfRule>
    <cfRule type="expression" dxfId="36" priority="129" stopIfTrue="1">
      <formula>OR($P$25=25,$R$25=25,$T$25=25)</formula>
    </cfRule>
  </conditionalFormatting>
  <conditionalFormatting sqref="U8:V8">
    <cfRule type="expression" dxfId="35" priority="40" stopIfTrue="1">
      <formula>OR($J$25=13,$L$25=13,$N$25=13,$P$25=25,$R$25=25,$T$25=25,$D$25=1,$F$25=1,$H$25=1)</formula>
    </cfRule>
    <cfRule type="expression" dxfId="34" priority="42" stopIfTrue="1">
      <formula>OR($V$25=37,$X$25=37,$Z$25=37)</formula>
    </cfRule>
    <cfRule type="expression" dxfId="33" priority="41" stopIfTrue="1">
      <formula>AND(NOT(ISBLANK($V$25)),NOT(ISBLANK($X$25)),NOT(ISBLANK($Z$25)),$X$25&lt;&gt;37,$V$25&lt;&gt;37,$Z$25&lt;&gt;37)</formula>
    </cfRule>
  </conditionalFormatting>
  <conditionalFormatting sqref="U9:V9">
    <cfRule type="expression" dxfId="32" priority="38" stopIfTrue="1">
      <formula>AND(NOT(ISBLANK($V$25)),NOT(ISBLANK($X$25)),NOT(ISBLANK($Z$25)),$V$25&lt;&gt;38,$X$25&lt;&gt;38,$Z$25&lt;&gt;38)</formula>
    </cfRule>
    <cfRule type="expression" dxfId="31" priority="39" stopIfTrue="1">
      <formula>OR($X$25=38,$V$25=38,$Z$25=38)</formula>
    </cfRule>
    <cfRule type="expression" dxfId="30" priority="37" stopIfTrue="1">
      <formula>OR($J$25=14,$L$25=14,$N$25=14,$P$25=26,$R$25=26,$T$25=26,$D$25=2,$F$25=2,$H$25=2)</formula>
    </cfRule>
  </conditionalFormatting>
  <conditionalFormatting sqref="U10:V10">
    <cfRule type="expression" dxfId="29" priority="34" stopIfTrue="1">
      <formula>OR($J$25=15,$L$25=15,$N$25=15,$P$25=27,$R$25=27,$T$25=27,$D$25=3,$F$25=3,$H$25=3)</formula>
    </cfRule>
    <cfRule type="expression" dxfId="28" priority="36" stopIfTrue="1">
      <formula>OR($V$25=39,$X$25=39,$Z$25=39)</formula>
    </cfRule>
    <cfRule type="expression" dxfId="27" priority="35" stopIfTrue="1">
      <formula>AND(NOT(ISBLANK($X$25)),NOT(ISBLANK($V$25)),NOT(ISBLANK($Z$25)),$V$25&lt;&gt;39,$X$25&lt;&gt;39,$Z$25&lt;&gt;39)</formula>
    </cfRule>
  </conditionalFormatting>
  <conditionalFormatting sqref="U11:V11">
    <cfRule type="expression" dxfId="26" priority="33" stopIfTrue="1">
      <formula>OR($V$25=40,$X$25=40,$Z$25=40)</formula>
    </cfRule>
    <cfRule type="expression" dxfId="25" priority="32" stopIfTrue="1">
      <formula>AND(NOT(ISBLANK($X$25)),NOT(ISBLANK($V$25)),NOT(ISBLANK($Z$25)),$V$25&lt;&gt;40,$X$25&lt;&gt;40,$Z$25&lt;&gt;40)</formula>
    </cfRule>
    <cfRule type="expression" dxfId="24" priority="31" stopIfTrue="1">
      <formula>OR($J$25=16,$L$25=16,$N$25=16,$P$25=28,$R$25=28,$T$25=28,$D$25=4,$F$25=4,$H$25=4)</formula>
    </cfRule>
  </conditionalFormatting>
  <conditionalFormatting sqref="U12:V12">
    <cfRule type="expression" dxfId="23" priority="30" stopIfTrue="1">
      <formula>OR($V$25=41,$X$25=41,$Z$25=41)</formula>
    </cfRule>
    <cfRule type="expression" dxfId="22" priority="29" stopIfTrue="1">
      <formula>AND(NOT(ISBLANK($V$25)),NOT(ISBLANK($X$25)),NOT(ISBLANK($Z$25)),$V$25&lt;&gt;41,$X$25&lt;&gt;41,$Z$25&lt;&gt;41)</formula>
    </cfRule>
    <cfRule type="expression" dxfId="21" priority="28" stopIfTrue="1">
      <formula>OR($J$25=17,$L$25=17,$N$25=17,$P$25=29,$R$25=29,$T$25=29,$D$25=5,$F$25=5,$H$25=5)</formula>
    </cfRule>
  </conditionalFormatting>
  <conditionalFormatting sqref="U13:V13">
    <cfRule type="expression" dxfId="20" priority="27" stopIfTrue="1">
      <formula>OR($V$25=42,$X$25=42,$Z$25=42)</formula>
    </cfRule>
    <cfRule type="expression" dxfId="19" priority="26" stopIfTrue="1">
      <formula>AND(NOT(ISBLANK($V$25)),NOT(ISBLANK($X$25)),NOT(ISBLANK($Z$25)),$V$25&lt;&gt;42,$X$25&lt;&gt;42,$Z$25&lt;&gt;42)</formula>
    </cfRule>
    <cfRule type="expression" dxfId="18" priority="25" stopIfTrue="1">
      <formula>OR($J$25=18,$L$25=18,$N$25=18,$P$25=30,$R$25=30,$T$25=30,$D$25=6,$F$25=6,$H$25=6)</formula>
    </cfRule>
  </conditionalFormatting>
  <conditionalFormatting sqref="U14:V14">
    <cfRule type="expression" dxfId="17" priority="24" stopIfTrue="1">
      <formula>OR($X$25=43,$V$25=43,$Z$25=43)</formula>
    </cfRule>
    <cfRule type="expression" dxfId="16" priority="23" stopIfTrue="1">
      <formula>AND(NOT(ISBLANK($X$25)),NOT(ISBLANK($V$25)),NOT(ISBLANK($Z$25)),$X$25&lt;&gt;43,$V$25&lt;&gt;43,$Z$25&lt;&gt;43)</formula>
    </cfRule>
    <cfRule type="expression" dxfId="15" priority="22" stopIfTrue="1">
      <formula>OR($J$25=19,$L$25=19,$N$25=19,$P$25=31,$R$25=31,$T$25=31,$F$25=7,$D$25=7,$H$25=7)</formula>
    </cfRule>
  </conditionalFormatting>
  <conditionalFormatting sqref="U15:V15">
    <cfRule type="expression" dxfId="14" priority="19" stopIfTrue="1">
      <formula>OR($J$25=20,$L$25=20,$N$25=20,$P$25=32,$R$25=32,$T$25=32,$D$25=8,$F$25=8,$H$25=8)</formula>
    </cfRule>
    <cfRule type="expression" dxfId="13" priority="20" stopIfTrue="1">
      <formula>AND(NOT(ISBLANK($V$25)),NOT(ISBLANK($X$25)),NOT(ISBLANK($Z$25)),$V$25&lt;&gt;44,$X$25&lt;&gt;44,$Z$25&lt;&gt;44)</formula>
    </cfRule>
    <cfRule type="expression" dxfId="12" priority="21" stopIfTrue="1">
      <formula>OR($V$25=44,$X$25=44,$Z$25=44)</formula>
    </cfRule>
  </conditionalFormatting>
  <conditionalFormatting sqref="U16:V16">
    <cfRule type="expression" dxfId="11" priority="17" stopIfTrue="1">
      <formula>AND(NOT(ISBLANK($X$25)),NOT(ISBLANK($V$25)),NOT(ISBLANK($Z$25)),$X$25&lt;&gt;45,$V$25&lt;&gt;45,$Z$25&lt;&gt;45)</formula>
    </cfRule>
    <cfRule type="expression" dxfId="10" priority="16" stopIfTrue="1">
      <formula>OR($J$25=21,$L$25=21,$N$25=21,$P$25=33,$R$25=33,$T$25=33,$D$25=9,$F$25=9,$H$25=9)</formula>
    </cfRule>
    <cfRule type="expression" dxfId="9" priority="18" stopIfTrue="1">
      <formula>OR($X$25=45,$V$25=45,$Z$25=45)</formula>
    </cfRule>
  </conditionalFormatting>
  <conditionalFormatting sqref="U17:V17">
    <cfRule type="expression" dxfId="8" priority="15" stopIfTrue="1">
      <formula>OR($X$25=46,$V$25=46,$Z$25=46)</formula>
    </cfRule>
    <cfRule type="expression" dxfId="7" priority="14" stopIfTrue="1">
      <formula>AND(NOT(ISBLANK($X$25)),NOT(ISBLANK($V$25)),NOT(ISBLANK($Z$25)),$X$25&lt;&gt;46,$V$25&lt;&gt;46,$Z$25&lt;&gt;46)</formula>
    </cfRule>
    <cfRule type="expression" dxfId="6" priority="13" stopIfTrue="1">
      <formula>OR($J$25=22,$L$25=22,$N$25=22,$P$25=34,$R$25=34,$T$25=34,$D$25=10,$F$25=10,$H$25=10)</formula>
    </cfRule>
  </conditionalFormatting>
  <conditionalFormatting sqref="U18:V18">
    <cfRule type="expression" dxfId="5" priority="12" stopIfTrue="1">
      <formula>OR($X$25=47,$V$25=47,$Z$25=47)</formula>
    </cfRule>
    <cfRule type="expression" dxfId="4" priority="11" stopIfTrue="1">
      <formula>AND(NOT(ISBLANK($V$25)),NOT(ISBLANK($X$25)),NOT(ISBLANK($Z$25)),$V$25&lt;&gt;47,$X$25&lt;&gt;47,$Z$25&lt;&gt;47)</formula>
    </cfRule>
    <cfRule type="expression" dxfId="3" priority="10" stopIfTrue="1">
      <formula>OR($J$25=23,$L$25=23,$N$25=23,$P$25=35,$R$25=35,$T$25=35,$F$25=11,$D$25=11,$H$25=11)</formula>
    </cfRule>
  </conditionalFormatting>
  <conditionalFormatting sqref="U19:V19">
    <cfRule type="expression" dxfId="2" priority="9" stopIfTrue="1">
      <formula>OR($X$25=48,$V$25=48,$Z$25=48)</formula>
    </cfRule>
    <cfRule type="expression" dxfId="1" priority="8" stopIfTrue="1">
      <formula>AND(NOT(ISBLANK($V$25)),NOT(ISBLANK($X$25)),NOT(ISBLANK($Z$25)),$V$25&lt;&gt;48,$X$25&lt;&gt;48,$Z$25&lt;&gt;48)</formula>
    </cfRule>
    <cfRule type="expression" dxfId="0" priority="7" stopIfTrue="1">
      <formula>OR($J$25=24,$L$25=24,$N$25=24,$P$25=36,$R$25=36,$T$25=36,$D$25=12,$F$25=12,$H$25=12)</formula>
    </cfRule>
  </conditionalFormatting>
  <pageMargins left="0.5" right="0.5" top="0.5" bottom="0.5" header="0" footer="0"/>
  <pageSetup paperSize="9" scale="55" fitToHeight="3" orientation="portrait" r:id="rId1"/>
  <headerFooter alignWithMargins="0"/>
  <ignoredErrors>
    <ignoredError sqref="P35:R3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F73C-9A04-49FB-9878-0213F9EABC9D}">
  <sheetPr codeName="Sheet2">
    <tabColor indexed="10"/>
  </sheetPr>
  <dimension ref="A3:K2537"/>
  <sheetViews>
    <sheetView showGridLines="0" zoomScale="87" zoomScaleNormal="87" workbookViewId="0">
      <selection activeCell="H1" sqref="H1"/>
    </sheetView>
  </sheetViews>
  <sheetFormatPr baseColWidth="10" defaultColWidth="9.7109375" defaultRowHeight="16" x14ac:dyDescent="0.2"/>
  <cols>
    <col min="1" max="1" width="9.7109375" style="1" customWidth="1"/>
    <col min="2" max="2" width="25.7109375" style="1" customWidth="1"/>
    <col min="3" max="4" width="2.7109375" style="1" customWidth="1"/>
    <col min="5" max="8" width="9.7109375" style="1"/>
    <col min="9" max="9" width="12.7109375" style="1" customWidth="1"/>
    <col min="10" max="16384" width="9.7109375" style="1"/>
  </cols>
  <sheetData>
    <row r="3" spans="1:11" x14ac:dyDescent="0.2">
      <c r="A3" s="1" t="s">
        <v>104</v>
      </c>
    </row>
    <row r="4" spans="1:11" x14ac:dyDescent="0.2">
      <c r="A4" s="3" t="s">
        <v>4</v>
      </c>
      <c r="B4" s="14" t="s">
        <v>5</v>
      </c>
      <c r="C4" s="2"/>
      <c r="H4" s="1" t="s">
        <v>77</v>
      </c>
      <c r="I4" s="1" t="s">
        <v>78</v>
      </c>
      <c r="J4" s="1" t="s">
        <v>70</v>
      </c>
      <c r="K4" s="1" t="s">
        <v>102</v>
      </c>
    </row>
    <row r="5" spans="1:11" x14ac:dyDescent="0.2">
      <c r="A5" s="58">
        <v>0</v>
      </c>
      <c r="B5" s="14" t="s">
        <v>103</v>
      </c>
      <c r="C5" s="2"/>
      <c r="H5" s="1" t="s">
        <v>0</v>
      </c>
      <c r="I5" s="1" t="s">
        <v>22</v>
      </c>
      <c r="J5" s="1">
        <v>17</v>
      </c>
      <c r="K5" s="1">
        <v>80</v>
      </c>
    </row>
    <row r="6" spans="1:11" x14ac:dyDescent="0.2">
      <c r="A6" s="58">
        <v>1</v>
      </c>
      <c r="B6" s="14" t="s">
        <v>22</v>
      </c>
      <c r="C6" s="2"/>
      <c r="H6" s="1" t="s">
        <v>0</v>
      </c>
      <c r="I6" s="1" t="s">
        <v>80</v>
      </c>
      <c r="J6" s="1">
        <v>30</v>
      </c>
      <c r="K6" s="1">
        <v>300</v>
      </c>
    </row>
    <row r="7" spans="1:11" x14ac:dyDescent="0.2">
      <c r="A7" s="58">
        <v>2</v>
      </c>
      <c r="B7" s="14" t="s">
        <v>11</v>
      </c>
      <c r="C7" s="2"/>
      <c r="H7" s="1" t="s">
        <v>0</v>
      </c>
      <c r="I7" s="1" t="s">
        <v>60</v>
      </c>
      <c r="J7" s="1">
        <v>33</v>
      </c>
      <c r="K7" s="1">
        <v>500</v>
      </c>
    </row>
    <row r="8" spans="1:11" x14ac:dyDescent="0.2">
      <c r="A8" s="58">
        <v>3</v>
      </c>
      <c r="B8" s="14" t="s">
        <v>23</v>
      </c>
      <c r="C8" s="2"/>
      <c r="H8" s="1" t="s">
        <v>0</v>
      </c>
      <c r="I8" s="1" t="s">
        <v>79</v>
      </c>
      <c r="J8" s="1">
        <v>38</v>
      </c>
      <c r="K8" s="1">
        <v>1000</v>
      </c>
    </row>
    <row r="9" spans="1:11" x14ac:dyDescent="0.2">
      <c r="A9" s="58">
        <v>4</v>
      </c>
      <c r="B9" s="14" t="s">
        <v>64</v>
      </c>
      <c r="C9" s="2"/>
      <c r="H9" s="1" t="s">
        <v>1</v>
      </c>
      <c r="I9" s="1" t="s">
        <v>11</v>
      </c>
      <c r="J9" s="1">
        <v>16</v>
      </c>
      <c r="K9" s="1">
        <v>80</v>
      </c>
    </row>
    <row r="10" spans="1:11" x14ac:dyDescent="0.2">
      <c r="A10" s="58">
        <v>5</v>
      </c>
      <c r="B10" s="14" t="s">
        <v>10</v>
      </c>
      <c r="C10" s="2"/>
      <c r="H10" s="1" t="s">
        <v>1</v>
      </c>
      <c r="I10" s="1" t="s">
        <v>65</v>
      </c>
      <c r="J10" s="1">
        <v>23</v>
      </c>
      <c r="K10" s="1">
        <v>150</v>
      </c>
    </row>
    <row r="11" spans="1:11" x14ac:dyDescent="0.2">
      <c r="A11" s="58">
        <v>6</v>
      </c>
      <c r="B11" s="14" t="s">
        <v>63</v>
      </c>
      <c r="C11" s="2"/>
      <c r="H11" s="1" t="s">
        <v>1</v>
      </c>
      <c r="I11" s="1" t="s">
        <v>81</v>
      </c>
      <c r="J11" s="1">
        <v>27</v>
      </c>
      <c r="K11" s="1">
        <v>250</v>
      </c>
    </row>
    <row r="12" spans="1:11" ht="15" customHeight="1" x14ac:dyDescent="0.2">
      <c r="A12" s="58">
        <v>7</v>
      </c>
      <c r="B12" s="14" t="s">
        <v>52</v>
      </c>
      <c r="C12" s="2"/>
      <c r="H12" s="1" t="s">
        <v>1</v>
      </c>
      <c r="I12" s="1" t="s">
        <v>69</v>
      </c>
      <c r="J12" s="1">
        <v>39</v>
      </c>
      <c r="K12" s="1">
        <v>1000</v>
      </c>
    </row>
    <row r="13" spans="1:11" ht="15" customHeight="1" x14ac:dyDescent="0.2">
      <c r="A13" s="58">
        <v>8</v>
      </c>
      <c r="B13" s="14" t="s">
        <v>8</v>
      </c>
      <c r="C13" s="2"/>
      <c r="H13" s="1" t="s">
        <v>2</v>
      </c>
      <c r="I13" s="1" t="s">
        <v>23</v>
      </c>
      <c r="J13" s="1">
        <v>4</v>
      </c>
      <c r="K13" s="1">
        <v>8</v>
      </c>
    </row>
    <row r="14" spans="1:11" ht="15" customHeight="1" x14ac:dyDescent="0.2">
      <c r="A14" s="58">
        <v>9</v>
      </c>
      <c r="B14" s="14" t="s">
        <v>7</v>
      </c>
      <c r="C14" s="2"/>
      <c r="H14" s="1" t="s">
        <v>2</v>
      </c>
      <c r="I14" s="1" t="s">
        <v>67</v>
      </c>
      <c r="J14" s="1">
        <v>13</v>
      </c>
      <c r="K14" s="1">
        <v>50</v>
      </c>
    </row>
    <row r="15" spans="1:11" ht="15" customHeight="1" x14ac:dyDescent="0.2">
      <c r="A15" s="58">
        <v>10</v>
      </c>
      <c r="B15" s="14" t="s">
        <v>21</v>
      </c>
      <c r="C15" s="2"/>
      <c r="H15" s="1" t="s">
        <v>2</v>
      </c>
      <c r="I15" s="1" t="s">
        <v>83</v>
      </c>
      <c r="J15" s="1">
        <v>26</v>
      </c>
      <c r="K15" s="1">
        <v>250</v>
      </c>
    </row>
    <row r="16" spans="1:11" ht="15" customHeight="1" x14ac:dyDescent="0.2">
      <c r="A16" s="58">
        <v>11</v>
      </c>
      <c r="B16" s="14" t="s">
        <v>6</v>
      </c>
      <c r="C16" s="2"/>
      <c r="H16" s="1" t="s">
        <v>2</v>
      </c>
      <c r="I16" s="1" t="s">
        <v>82</v>
      </c>
      <c r="J16" s="1">
        <v>48</v>
      </c>
      <c r="K16" s="1">
        <v>3000</v>
      </c>
    </row>
    <row r="17" spans="1:11" ht="15" customHeight="1" x14ac:dyDescent="0.2">
      <c r="A17" s="58">
        <v>12</v>
      </c>
      <c r="B17" s="14" t="s">
        <v>9</v>
      </c>
      <c r="C17" s="2"/>
      <c r="H17" s="1" t="s">
        <v>3</v>
      </c>
      <c r="I17" s="1" t="s">
        <v>64</v>
      </c>
      <c r="J17" s="1">
        <v>14</v>
      </c>
      <c r="K17" s="1">
        <v>66</v>
      </c>
    </row>
    <row r="18" spans="1:11" ht="15" customHeight="1" x14ac:dyDescent="0.2">
      <c r="A18" s="58">
        <v>13</v>
      </c>
      <c r="B18" s="14" t="s">
        <v>80</v>
      </c>
      <c r="C18" s="2"/>
      <c r="H18" s="1" t="s">
        <v>3</v>
      </c>
      <c r="I18" s="1" t="s">
        <v>85</v>
      </c>
      <c r="J18" s="1">
        <v>19</v>
      </c>
      <c r="K18" s="1">
        <v>80</v>
      </c>
    </row>
    <row r="19" spans="1:11" ht="15" customHeight="1" x14ac:dyDescent="0.2">
      <c r="A19" s="58">
        <v>14</v>
      </c>
      <c r="B19" s="14" t="s">
        <v>65</v>
      </c>
      <c r="C19" s="2"/>
      <c r="H19" s="1" t="s">
        <v>3</v>
      </c>
      <c r="I19" s="1" t="s">
        <v>84</v>
      </c>
      <c r="J19" s="1">
        <v>25</v>
      </c>
      <c r="K19" s="1">
        <v>150</v>
      </c>
    </row>
    <row r="20" spans="1:11" ht="15" customHeight="1" x14ac:dyDescent="0.2">
      <c r="A20" s="58">
        <v>15</v>
      </c>
      <c r="B20" s="14" t="s">
        <v>67</v>
      </c>
      <c r="C20" s="2"/>
      <c r="H20" s="1" t="s">
        <v>3</v>
      </c>
      <c r="I20" s="1" t="s">
        <v>24</v>
      </c>
      <c r="J20" s="1">
        <v>35</v>
      </c>
      <c r="K20" s="1">
        <v>500</v>
      </c>
    </row>
    <row r="21" spans="1:11" ht="15" customHeight="1" x14ac:dyDescent="0.2">
      <c r="A21" s="58">
        <v>16</v>
      </c>
      <c r="B21" s="14" t="s">
        <v>85</v>
      </c>
      <c r="C21" s="2"/>
      <c r="H21" s="1" t="s">
        <v>17</v>
      </c>
      <c r="I21" s="1" t="s">
        <v>10</v>
      </c>
      <c r="J21" s="1">
        <v>7</v>
      </c>
      <c r="K21" s="1">
        <v>14</v>
      </c>
    </row>
    <row r="22" spans="1:11" ht="15" customHeight="1" x14ac:dyDescent="0.2">
      <c r="A22" s="58">
        <v>17</v>
      </c>
      <c r="B22" s="14" t="s">
        <v>66</v>
      </c>
      <c r="C22" s="2"/>
      <c r="H22" s="1" t="s">
        <v>17</v>
      </c>
      <c r="I22" s="1" t="s">
        <v>66</v>
      </c>
      <c r="J22" s="1">
        <v>20</v>
      </c>
      <c r="K22" s="1">
        <v>100</v>
      </c>
    </row>
    <row r="23" spans="1:11" ht="15" customHeight="1" x14ac:dyDescent="0.2">
      <c r="A23" s="58">
        <v>18</v>
      </c>
      <c r="B23" s="14" t="s">
        <v>25</v>
      </c>
      <c r="C23" s="2"/>
      <c r="H23" s="1" t="s">
        <v>17</v>
      </c>
      <c r="I23" s="1" t="s">
        <v>87</v>
      </c>
      <c r="J23" s="1">
        <v>28</v>
      </c>
      <c r="K23" s="1">
        <v>300</v>
      </c>
    </row>
    <row r="24" spans="1:11" ht="15" customHeight="1" x14ac:dyDescent="0.2">
      <c r="A24" s="58">
        <v>19</v>
      </c>
      <c r="B24" s="14" t="s">
        <v>89</v>
      </c>
      <c r="C24" s="2"/>
      <c r="H24" s="1" t="s">
        <v>17</v>
      </c>
      <c r="I24" s="1" t="s">
        <v>86</v>
      </c>
      <c r="J24" s="1">
        <v>46</v>
      </c>
      <c r="K24" s="1">
        <v>2000</v>
      </c>
    </row>
    <row r="25" spans="1:11" ht="15" customHeight="1" x14ac:dyDescent="0.2">
      <c r="A25" s="58">
        <v>20</v>
      </c>
      <c r="B25" s="14" t="s">
        <v>35</v>
      </c>
      <c r="C25" s="2"/>
      <c r="H25" s="1" t="s">
        <v>18</v>
      </c>
      <c r="I25" s="1" t="s">
        <v>63</v>
      </c>
      <c r="J25" s="1">
        <v>8</v>
      </c>
      <c r="K25" s="1">
        <v>20</v>
      </c>
    </row>
    <row r="26" spans="1:11" ht="15" customHeight="1" x14ac:dyDescent="0.2">
      <c r="A26" s="58">
        <v>21</v>
      </c>
      <c r="B26" s="14" t="s">
        <v>94</v>
      </c>
      <c r="C26" s="2"/>
      <c r="H26" s="1" t="s">
        <v>18</v>
      </c>
      <c r="I26" s="1" t="s">
        <v>25</v>
      </c>
      <c r="J26" s="1">
        <v>12</v>
      </c>
      <c r="K26" s="1">
        <v>50</v>
      </c>
    </row>
    <row r="27" spans="1:11" ht="15" customHeight="1" x14ac:dyDescent="0.2">
      <c r="A27" s="58">
        <v>22</v>
      </c>
      <c r="B27" s="14" t="s">
        <v>96</v>
      </c>
      <c r="C27" s="2"/>
      <c r="H27" s="1" t="s">
        <v>18</v>
      </c>
      <c r="I27" s="1" t="s">
        <v>88</v>
      </c>
      <c r="J27" s="1">
        <v>22</v>
      </c>
      <c r="K27" s="1">
        <v>125</v>
      </c>
    </row>
    <row r="28" spans="1:11" ht="15" customHeight="1" x14ac:dyDescent="0.2">
      <c r="A28" s="58">
        <v>23</v>
      </c>
      <c r="B28" s="14" t="s">
        <v>100</v>
      </c>
      <c r="C28" s="2"/>
      <c r="H28" s="1" t="s">
        <v>18</v>
      </c>
      <c r="I28" s="1" t="s">
        <v>61</v>
      </c>
      <c r="J28" s="1">
        <v>34</v>
      </c>
      <c r="K28" s="1">
        <v>500</v>
      </c>
    </row>
    <row r="29" spans="1:11" ht="15" customHeight="1" x14ac:dyDescent="0.2">
      <c r="A29" s="58">
        <v>24</v>
      </c>
      <c r="B29" s="14" t="s">
        <v>53</v>
      </c>
      <c r="C29" s="2"/>
      <c r="H29" s="1" t="s">
        <v>19</v>
      </c>
      <c r="I29" s="1" t="s">
        <v>52</v>
      </c>
      <c r="J29" s="1">
        <v>10</v>
      </c>
      <c r="K29" s="1">
        <v>33</v>
      </c>
    </row>
    <row r="30" spans="1:11" ht="15" customHeight="1" x14ac:dyDescent="0.2">
      <c r="A30" s="58">
        <v>25</v>
      </c>
      <c r="B30" s="14" t="s">
        <v>60</v>
      </c>
      <c r="C30" s="2"/>
      <c r="H30" s="1" t="s">
        <v>19</v>
      </c>
      <c r="I30" s="1" t="s">
        <v>89</v>
      </c>
      <c r="J30" s="1">
        <v>29</v>
      </c>
      <c r="K30" s="1">
        <v>300</v>
      </c>
    </row>
    <row r="31" spans="1:11" ht="15" customHeight="1" x14ac:dyDescent="0.2">
      <c r="A31" s="58">
        <v>26</v>
      </c>
      <c r="B31" s="14" t="s">
        <v>81</v>
      </c>
      <c r="C31" s="2"/>
      <c r="H31" s="1" t="s">
        <v>19</v>
      </c>
      <c r="I31" s="1" t="s">
        <v>90</v>
      </c>
      <c r="J31" s="1">
        <v>36</v>
      </c>
      <c r="K31" s="1">
        <v>500</v>
      </c>
    </row>
    <row r="32" spans="1:11" ht="15" customHeight="1" x14ac:dyDescent="0.2">
      <c r="A32" s="58">
        <v>27</v>
      </c>
      <c r="B32" s="14" t="s">
        <v>83</v>
      </c>
      <c r="C32" s="2"/>
      <c r="H32" s="1" t="s">
        <v>19</v>
      </c>
      <c r="I32" s="1" t="s">
        <v>91</v>
      </c>
      <c r="J32" s="1">
        <v>42</v>
      </c>
      <c r="K32" s="1">
        <v>1500</v>
      </c>
    </row>
    <row r="33" spans="1:11" ht="15" customHeight="1" x14ac:dyDescent="0.2">
      <c r="A33" s="58">
        <v>28</v>
      </c>
      <c r="B33" s="14" t="s">
        <v>84</v>
      </c>
      <c r="C33" s="2"/>
      <c r="H33" s="1" t="s">
        <v>20</v>
      </c>
      <c r="I33" s="1" t="s">
        <v>8</v>
      </c>
      <c r="J33" s="1">
        <v>1</v>
      </c>
      <c r="K33" s="1">
        <f>9/2</f>
        <v>4.5</v>
      </c>
    </row>
    <row r="34" spans="1:11" ht="15" customHeight="1" x14ac:dyDescent="0.2">
      <c r="A34" s="58">
        <v>29</v>
      </c>
      <c r="B34" s="14" t="s">
        <v>87</v>
      </c>
      <c r="C34" s="2"/>
      <c r="H34" s="1" t="s">
        <v>20</v>
      </c>
      <c r="I34" s="1" t="s">
        <v>35</v>
      </c>
      <c r="J34" s="1">
        <v>15</v>
      </c>
      <c r="K34" s="1">
        <v>66</v>
      </c>
    </row>
    <row r="35" spans="1:11" ht="15" customHeight="1" x14ac:dyDescent="0.2">
      <c r="A35" s="58">
        <v>30</v>
      </c>
      <c r="B35" s="14" t="s">
        <v>88</v>
      </c>
      <c r="C35" s="2"/>
      <c r="H35" s="1" t="s">
        <v>20</v>
      </c>
      <c r="I35" s="1" t="s">
        <v>59</v>
      </c>
      <c r="J35" s="1">
        <v>40</v>
      </c>
      <c r="K35" s="1">
        <v>1000</v>
      </c>
    </row>
    <row r="36" spans="1:11" ht="15" customHeight="1" x14ac:dyDescent="0.2">
      <c r="A36" s="58">
        <v>31</v>
      </c>
      <c r="B36" s="14" t="s">
        <v>54</v>
      </c>
      <c r="C36" s="2"/>
      <c r="H36" s="1" t="s">
        <v>20</v>
      </c>
      <c r="I36" s="1" t="s">
        <v>92</v>
      </c>
      <c r="J36" s="1">
        <v>45</v>
      </c>
      <c r="K36" s="1">
        <v>2000</v>
      </c>
    </row>
    <row r="37" spans="1:11" ht="15" customHeight="1" x14ac:dyDescent="0.2">
      <c r="A37" s="58">
        <v>32</v>
      </c>
      <c r="B37" s="14" t="s">
        <v>59</v>
      </c>
      <c r="C37" s="2"/>
      <c r="H37" s="1" t="s">
        <v>73</v>
      </c>
      <c r="I37" s="1" t="s">
        <v>7</v>
      </c>
      <c r="J37" s="1">
        <v>2</v>
      </c>
      <c r="K37" s="1">
        <v>5</v>
      </c>
    </row>
    <row r="38" spans="1:11" ht="15" customHeight="1" x14ac:dyDescent="0.2">
      <c r="A38" s="58">
        <v>33</v>
      </c>
      <c r="B38" s="14" t="s">
        <v>62</v>
      </c>
      <c r="C38" s="2"/>
      <c r="H38" s="1" t="s">
        <v>73</v>
      </c>
      <c r="I38" s="1" t="s">
        <v>94</v>
      </c>
      <c r="J38" s="1">
        <v>9</v>
      </c>
      <c r="K38" s="1">
        <v>25</v>
      </c>
    </row>
    <row r="39" spans="1:11" ht="15" customHeight="1" x14ac:dyDescent="0.2">
      <c r="A39" s="58">
        <v>34</v>
      </c>
      <c r="B39" s="14" t="s">
        <v>95</v>
      </c>
      <c r="C39" s="2"/>
      <c r="H39" s="1" t="s">
        <v>73</v>
      </c>
      <c r="I39" s="1" t="s">
        <v>62</v>
      </c>
      <c r="J39" s="1">
        <v>21</v>
      </c>
      <c r="K39" s="1">
        <v>125</v>
      </c>
    </row>
    <row r="40" spans="1:11" ht="15" customHeight="1" x14ac:dyDescent="0.2">
      <c r="A40" s="58">
        <v>35</v>
      </c>
      <c r="B40" s="14" t="s">
        <v>98</v>
      </c>
      <c r="C40" s="2"/>
      <c r="H40" s="1" t="s">
        <v>73</v>
      </c>
      <c r="I40" s="1" t="s">
        <v>93</v>
      </c>
      <c r="J40" s="1">
        <v>43</v>
      </c>
      <c r="K40" s="1">
        <v>1500</v>
      </c>
    </row>
    <row r="41" spans="1:11" ht="15" customHeight="1" x14ac:dyDescent="0.2">
      <c r="A41" s="58">
        <v>36</v>
      </c>
      <c r="B41" s="14" t="s">
        <v>68</v>
      </c>
      <c r="C41" s="2"/>
      <c r="H41" s="1" t="s">
        <v>74</v>
      </c>
      <c r="I41" s="1" t="s">
        <v>21</v>
      </c>
      <c r="J41" s="1">
        <v>5</v>
      </c>
      <c r="K41" s="1">
        <v>8</v>
      </c>
    </row>
    <row r="42" spans="1:11" ht="15" customHeight="1" x14ac:dyDescent="0.2">
      <c r="A42" s="58">
        <v>37</v>
      </c>
      <c r="B42" s="14" t="s">
        <v>79</v>
      </c>
      <c r="C42" s="2"/>
      <c r="H42" s="1" t="s">
        <v>74</v>
      </c>
      <c r="I42" s="1" t="s">
        <v>96</v>
      </c>
      <c r="J42" s="1">
        <v>24</v>
      </c>
      <c r="K42" s="1">
        <v>150</v>
      </c>
    </row>
    <row r="43" spans="1:11" ht="15" customHeight="1" x14ac:dyDescent="0.2">
      <c r="A43" s="58">
        <v>38</v>
      </c>
      <c r="B43" s="14" t="s">
        <v>69</v>
      </c>
      <c r="C43" s="2"/>
      <c r="H43" s="1" t="s">
        <v>74</v>
      </c>
      <c r="I43" s="1" t="s">
        <v>95</v>
      </c>
      <c r="J43" s="1">
        <v>32</v>
      </c>
      <c r="K43" s="1">
        <v>400</v>
      </c>
    </row>
    <row r="44" spans="1:11" ht="15" customHeight="1" x14ac:dyDescent="0.2">
      <c r="A44" s="58">
        <v>39</v>
      </c>
      <c r="B44" s="14" t="s">
        <v>82</v>
      </c>
      <c r="C44" s="2"/>
      <c r="H44" s="1" t="s">
        <v>74</v>
      </c>
      <c r="I44" s="1" t="s">
        <v>97</v>
      </c>
      <c r="J44" s="1">
        <v>47</v>
      </c>
      <c r="K44" s="1">
        <v>2500</v>
      </c>
    </row>
    <row r="45" spans="1:11" ht="15" customHeight="1" x14ac:dyDescent="0.2">
      <c r="A45" s="58">
        <v>40</v>
      </c>
      <c r="B45" s="14" t="s">
        <v>24</v>
      </c>
      <c r="C45" s="2"/>
      <c r="H45" s="1" t="s">
        <v>75</v>
      </c>
      <c r="I45" s="1" t="s">
        <v>6</v>
      </c>
      <c r="J45" s="1">
        <v>6</v>
      </c>
      <c r="K45" s="1">
        <v>10</v>
      </c>
    </row>
    <row r="46" spans="1:11" ht="15" customHeight="1" x14ac:dyDescent="0.2">
      <c r="A46" s="58">
        <v>41</v>
      </c>
      <c r="B46" s="14" t="s">
        <v>86</v>
      </c>
      <c r="C46" s="2"/>
      <c r="D46" s="58"/>
      <c r="H46" s="1" t="s">
        <v>75</v>
      </c>
      <c r="I46" s="1" t="s">
        <v>100</v>
      </c>
      <c r="J46" s="1">
        <v>11</v>
      </c>
      <c r="K46" s="1">
        <v>33</v>
      </c>
    </row>
    <row r="47" spans="1:11" ht="15" customHeight="1" x14ac:dyDescent="0.2">
      <c r="A47" s="58">
        <v>42</v>
      </c>
      <c r="B47" s="14" t="s">
        <v>61</v>
      </c>
      <c r="C47" s="2"/>
      <c r="D47" s="58"/>
      <c r="H47" s="1" t="s">
        <v>75</v>
      </c>
      <c r="I47" s="1" t="s">
        <v>98</v>
      </c>
      <c r="J47" s="1">
        <v>37</v>
      </c>
      <c r="K47" s="1">
        <v>750</v>
      </c>
    </row>
    <row r="48" spans="1:11" ht="15" customHeight="1" x14ac:dyDescent="0.2">
      <c r="A48" s="58">
        <v>43</v>
      </c>
      <c r="B48" s="14" t="s">
        <v>91</v>
      </c>
      <c r="C48" s="2"/>
      <c r="D48" s="58"/>
      <c r="H48" s="1" t="s">
        <v>75</v>
      </c>
      <c r="I48" s="1" t="s">
        <v>99</v>
      </c>
      <c r="J48" s="1">
        <v>44</v>
      </c>
      <c r="K48" s="1">
        <v>1500</v>
      </c>
    </row>
    <row r="49" spans="1:11" ht="15" customHeight="1" x14ac:dyDescent="0.2">
      <c r="A49" s="58">
        <v>44</v>
      </c>
      <c r="B49" s="14" t="s">
        <v>92</v>
      </c>
      <c r="C49" s="2"/>
      <c r="D49" s="58"/>
      <c r="H49" s="1" t="s">
        <v>76</v>
      </c>
      <c r="I49" s="1" t="s">
        <v>9</v>
      </c>
      <c r="J49" s="1">
        <v>3</v>
      </c>
      <c r="K49" s="1">
        <v>6</v>
      </c>
    </row>
    <row r="50" spans="1:11" ht="15" customHeight="1" x14ac:dyDescent="0.2">
      <c r="A50" s="58">
        <v>45</v>
      </c>
      <c r="B50" s="14" t="s">
        <v>93</v>
      </c>
      <c r="C50" s="2"/>
      <c r="D50" s="58"/>
      <c r="H50" s="1" t="s">
        <v>76</v>
      </c>
      <c r="I50" s="1" t="s">
        <v>53</v>
      </c>
      <c r="J50" s="1">
        <v>18</v>
      </c>
      <c r="K50" s="1">
        <v>80</v>
      </c>
    </row>
    <row r="51" spans="1:11" ht="15" customHeight="1" x14ac:dyDescent="0.2">
      <c r="A51" s="58">
        <v>46</v>
      </c>
      <c r="B51" s="14" t="s">
        <v>97</v>
      </c>
      <c r="C51" s="2"/>
      <c r="D51" s="58"/>
      <c r="H51" s="1" t="s">
        <v>76</v>
      </c>
      <c r="I51" s="1" t="s">
        <v>68</v>
      </c>
      <c r="J51" s="1">
        <v>31</v>
      </c>
      <c r="K51" s="1">
        <v>400</v>
      </c>
    </row>
    <row r="52" spans="1:11" ht="15" customHeight="1" x14ac:dyDescent="0.2">
      <c r="A52" s="58">
        <v>47</v>
      </c>
      <c r="B52" s="14" t="s">
        <v>99</v>
      </c>
      <c r="C52" s="2"/>
      <c r="D52" s="58"/>
      <c r="H52" s="1" t="s">
        <v>76</v>
      </c>
      <c r="I52" s="1" t="s">
        <v>101</v>
      </c>
      <c r="J52" s="1">
        <v>41</v>
      </c>
      <c r="K52" s="1">
        <v>1500</v>
      </c>
    </row>
    <row r="53" spans="1:11" ht="15" customHeight="1" x14ac:dyDescent="0.2">
      <c r="A53" s="58">
        <v>48</v>
      </c>
      <c r="B53" s="14" t="s">
        <v>101</v>
      </c>
      <c r="C53" s="2"/>
      <c r="D53" s="58"/>
    </row>
    <row r="54" spans="1:11" ht="15" customHeight="1" x14ac:dyDescent="0.2">
      <c r="A54" s="58"/>
      <c r="B54" s="14"/>
      <c r="C54" s="2"/>
      <c r="D54" s="58"/>
    </row>
    <row r="55" spans="1:11" ht="15" customHeight="1" x14ac:dyDescent="0.2">
      <c r="A55" s="58"/>
      <c r="B55" s="14"/>
      <c r="C55" s="2"/>
      <c r="D55" s="58"/>
    </row>
    <row r="56" spans="1:11" ht="15" customHeight="1" x14ac:dyDescent="0.2"/>
    <row r="57" spans="1:11" ht="15" customHeight="1" x14ac:dyDescent="0.2"/>
    <row r="58" spans="1:11" ht="15" customHeight="1" x14ac:dyDescent="0.2"/>
    <row r="59" spans="1:11" ht="15" customHeight="1" x14ac:dyDescent="0.2"/>
    <row r="60" spans="1:11" ht="15" customHeight="1" x14ac:dyDescent="0.2"/>
    <row r="61" spans="1:11" ht="15" customHeight="1" x14ac:dyDescent="0.2"/>
    <row r="62" spans="1:11" ht="15" customHeight="1" x14ac:dyDescent="0.2"/>
    <row r="63" spans="1:11" ht="15" customHeight="1" x14ac:dyDescent="0.2"/>
    <row r="64" spans="1:11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3" ht="15" customHeight="1" x14ac:dyDescent="0.2"/>
    <row r="444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ht="15" customHeight="1" x14ac:dyDescent="0.2"/>
    <row r="498" ht="15" customHeight="1" x14ac:dyDescent="0.2"/>
    <row r="499" ht="15" customHeight="1" x14ac:dyDescent="0.2"/>
    <row r="500" ht="15" customHeight="1" x14ac:dyDescent="0.2"/>
    <row r="501" ht="15" customHeight="1" x14ac:dyDescent="0.2"/>
    <row r="502" ht="15" customHeight="1" x14ac:dyDescent="0.2"/>
    <row r="503" ht="15" customHeight="1" x14ac:dyDescent="0.2"/>
    <row r="504" ht="15" customHeight="1" x14ac:dyDescent="0.2"/>
    <row r="505" ht="15" customHeight="1" x14ac:dyDescent="0.2"/>
    <row r="506" ht="15" customHeight="1" x14ac:dyDescent="0.2"/>
    <row r="507" ht="15" customHeight="1" x14ac:dyDescent="0.2"/>
    <row r="508" ht="15" customHeight="1" x14ac:dyDescent="0.2"/>
    <row r="509" ht="15" customHeight="1" x14ac:dyDescent="0.2"/>
    <row r="510" ht="15" customHeight="1" x14ac:dyDescent="0.2"/>
    <row r="511" ht="15" customHeight="1" x14ac:dyDescent="0.2"/>
    <row r="512" ht="15" customHeight="1" x14ac:dyDescent="0.2"/>
    <row r="513" ht="15" customHeight="1" x14ac:dyDescent="0.2"/>
    <row r="514" ht="15" customHeight="1" x14ac:dyDescent="0.2"/>
    <row r="515" ht="15" customHeight="1" x14ac:dyDescent="0.2"/>
    <row r="516" ht="15" customHeight="1" x14ac:dyDescent="0.2"/>
    <row r="517" ht="15" customHeight="1" x14ac:dyDescent="0.2"/>
    <row r="518" ht="15" customHeight="1" x14ac:dyDescent="0.2"/>
    <row r="519" ht="15" customHeight="1" x14ac:dyDescent="0.2"/>
    <row r="520" ht="15" customHeight="1" x14ac:dyDescent="0.2"/>
    <row r="521" ht="15" customHeight="1" x14ac:dyDescent="0.2"/>
    <row r="522" ht="15" customHeight="1" x14ac:dyDescent="0.2"/>
    <row r="523" ht="15" customHeight="1" x14ac:dyDescent="0.2"/>
    <row r="524" ht="15" customHeight="1" x14ac:dyDescent="0.2"/>
    <row r="525" ht="15" customHeight="1" x14ac:dyDescent="0.2"/>
    <row r="526" ht="15" customHeight="1" x14ac:dyDescent="0.2"/>
    <row r="527" ht="15" customHeight="1" x14ac:dyDescent="0.2"/>
    <row r="528" ht="15" customHeight="1" x14ac:dyDescent="0.2"/>
    <row r="529" ht="15" customHeight="1" x14ac:dyDescent="0.2"/>
    <row r="530" ht="15" customHeight="1" x14ac:dyDescent="0.2"/>
    <row r="531" ht="15" customHeight="1" x14ac:dyDescent="0.2"/>
    <row r="532" ht="15" customHeight="1" x14ac:dyDescent="0.2"/>
    <row r="533" ht="15" customHeight="1" x14ac:dyDescent="0.2"/>
    <row r="534" ht="15" customHeight="1" x14ac:dyDescent="0.2"/>
    <row r="535" ht="15" customHeight="1" x14ac:dyDescent="0.2"/>
    <row r="536" ht="15" customHeight="1" x14ac:dyDescent="0.2"/>
    <row r="537" ht="15" customHeight="1" x14ac:dyDescent="0.2"/>
    <row r="538" ht="15" customHeight="1" x14ac:dyDescent="0.2"/>
    <row r="539" ht="15" customHeight="1" x14ac:dyDescent="0.2"/>
    <row r="540" ht="15" customHeight="1" x14ac:dyDescent="0.2"/>
    <row r="541" ht="15" customHeight="1" x14ac:dyDescent="0.2"/>
    <row r="542" ht="15" customHeight="1" x14ac:dyDescent="0.2"/>
    <row r="543" ht="15" customHeight="1" x14ac:dyDescent="0.2"/>
    <row r="544" ht="15" customHeight="1" x14ac:dyDescent="0.2"/>
    <row r="545" ht="15" customHeight="1" x14ac:dyDescent="0.2"/>
    <row r="546" ht="15" customHeight="1" x14ac:dyDescent="0.2"/>
    <row r="547" ht="15" customHeight="1" x14ac:dyDescent="0.2"/>
    <row r="548" ht="15" customHeight="1" x14ac:dyDescent="0.2"/>
    <row r="549" ht="15" customHeight="1" x14ac:dyDescent="0.2"/>
    <row r="550" ht="15" customHeight="1" x14ac:dyDescent="0.2"/>
    <row r="551" ht="15" customHeight="1" x14ac:dyDescent="0.2"/>
    <row r="552" ht="15" customHeight="1" x14ac:dyDescent="0.2"/>
    <row r="553" ht="15" customHeight="1" x14ac:dyDescent="0.2"/>
    <row r="554" ht="15" customHeight="1" x14ac:dyDescent="0.2"/>
    <row r="555" ht="15" customHeight="1" x14ac:dyDescent="0.2"/>
    <row r="556" ht="15" customHeight="1" x14ac:dyDescent="0.2"/>
    <row r="557" ht="15" customHeight="1" x14ac:dyDescent="0.2"/>
    <row r="558" ht="15" customHeight="1" x14ac:dyDescent="0.2"/>
    <row r="559" ht="15" customHeight="1" x14ac:dyDescent="0.2"/>
    <row r="560" ht="15" customHeight="1" x14ac:dyDescent="0.2"/>
    <row r="561" ht="15" customHeight="1" x14ac:dyDescent="0.2"/>
    <row r="562" ht="15" customHeight="1" x14ac:dyDescent="0.2"/>
    <row r="563" ht="15" customHeight="1" x14ac:dyDescent="0.2"/>
    <row r="564" ht="15" customHeight="1" x14ac:dyDescent="0.2"/>
    <row r="565" ht="15" customHeight="1" x14ac:dyDescent="0.2"/>
    <row r="566" ht="15" customHeight="1" x14ac:dyDescent="0.2"/>
    <row r="567" ht="15" customHeight="1" x14ac:dyDescent="0.2"/>
    <row r="568" ht="15" customHeight="1" x14ac:dyDescent="0.2"/>
    <row r="569" ht="15" customHeight="1" x14ac:dyDescent="0.2"/>
    <row r="570" ht="15" customHeight="1" x14ac:dyDescent="0.2"/>
    <row r="571" ht="15" customHeight="1" x14ac:dyDescent="0.2"/>
    <row r="572" ht="15" customHeight="1" x14ac:dyDescent="0.2"/>
    <row r="573" ht="15" customHeight="1" x14ac:dyDescent="0.2"/>
    <row r="574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6" ht="15" customHeight="1" x14ac:dyDescent="0.2"/>
    <row r="587" ht="15" customHeight="1" x14ac:dyDescent="0.2"/>
    <row r="588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6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6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1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8" ht="15" customHeight="1" x14ac:dyDescent="0.2"/>
    <row r="639" ht="15" customHeight="1" x14ac:dyDescent="0.2"/>
    <row r="640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294" ht="15" customHeight="1" x14ac:dyDescent="0.2"/>
    <row r="1295" ht="15" customHeight="1" x14ac:dyDescent="0.2"/>
    <row r="1296" ht="15" customHeight="1" x14ac:dyDescent="0.2"/>
    <row r="1297" ht="15" customHeight="1" x14ac:dyDescent="0.2"/>
    <row r="1298" ht="15" customHeight="1" x14ac:dyDescent="0.2"/>
    <row r="1299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6" ht="15" customHeight="1" x14ac:dyDescent="0.2"/>
    <row r="1307" ht="15" customHeight="1" x14ac:dyDescent="0.2"/>
    <row r="1308" ht="15" customHeight="1" x14ac:dyDescent="0.2"/>
    <row r="1309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0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44" ht="15" customHeight="1" x14ac:dyDescent="0.2"/>
    <row r="1545" ht="15" customHeight="1" x14ac:dyDescent="0.2"/>
    <row r="1546" ht="15" customHeight="1" x14ac:dyDescent="0.2"/>
    <row r="1547" ht="15" customHeight="1" x14ac:dyDescent="0.2"/>
    <row r="1548" ht="15" customHeight="1" x14ac:dyDescent="0.2"/>
    <row r="1549" ht="15" customHeight="1" x14ac:dyDescent="0.2"/>
    <row r="1550" ht="15" customHeight="1" x14ac:dyDescent="0.2"/>
    <row r="1551" ht="15" customHeight="1" x14ac:dyDescent="0.2"/>
    <row r="1552" ht="15" customHeight="1" x14ac:dyDescent="0.2"/>
    <row r="1553" ht="15" customHeight="1" x14ac:dyDescent="0.2"/>
    <row r="1554" ht="15" customHeight="1" x14ac:dyDescent="0.2"/>
    <row r="1555" ht="15" customHeight="1" x14ac:dyDescent="0.2"/>
    <row r="1556" ht="15" customHeight="1" x14ac:dyDescent="0.2"/>
    <row r="1557" ht="15" customHeight="1" x14ac:dyDescent="0.2"/>
    <row r="1558" ht="15" customHeight="1" x14ac:dyDescent="0.2"/>
    <row r="1559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4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1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6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1" ht="15" customHeight="1" x14ac:dyDescent="0.2"/>
    <row r="1592" ht="15" customHeight="1" x14ac:dyDescent="0.2"/>
    <row r="1593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08" ht="15" customHeight="1" x14ac:dyDescent="0.2"/>
    <row r="1609" ht="15" customHeight="1" x14ac:dyDescent="0.2"/>
    <row r="1610" ht="15" customHeight="1" x14ac:dyDescent="0.2"/>
    <row r="1611" ht="15" customHeight="1" x14ac:dyDescent="0.2"/>
    <row r="1612" ht="15" customHeight="1" x14ac:dyDescent="0.2"/>
    <row r="1613" ht="15" customHeight="1" x14ac:dyDescent="0.2"/>
    <row r="1614" ht="15" customHeight="1" x14ac:dyDescent="0.2"/>
    <row r="1615" ht="15" customHeight="1" x14ac:dyDescent="0.2"/>
    <row r="1616" ht="15" customHeight="1" x14ac:dyDescent="0.2"/>
    <row r="1617" ht="15" customHeight="1" x14ac:dyDescent="0.2"/>
    <row r="1618" ht="15" customHeight="1" x14ac:dyDescent="0.2"/>
    <row r="1619" ht="15" customHeight="1" x14ac:dyDescent="0.2"/>
    <row r="1620" ht="15" customHeight="1" x14ac:dyDescent="0.2"/>
    <row r="1621" ht="15" customHeight="1" x14ac:dyDescent="0.2"/>
    <row r="1622" ht="15" customHeight="1" x14ac:dyDescent="0.2"/>
    <row r="1623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  <row r="1643" ht="15" customHeight="1" x14ac:dyDescent="0.2"/>
    <row r="1644" ht="15" customHeight="1" x14ac:dyDescent="0.2"/>
    <row r="1645" ht="15" customHeight="1" x14ac:dyDescent="0.2"/>
    <row r="1646" ht="15" customHeight="1" x14ac:dyDescent="0.2"/>
    <row r="1647" ht="15" customHeight="1" x14ac:dyDescent="0.2"/>
    <row r="1648" ht="15" customHeight="1" x14ac:dyDescent="0.2"/>
    <row r="1649" ht="15" customHeight="1" x14ac:dyDescent="0.2"/>
    <row r="1650" ht="15" customHeight="1" x14ac:dyDescent="0.2"/>
    <row r="1651" ht="15" customHeight="1" x14ac:dyDescent="0.2"/>
    <row r="1652" ht="15" customHeight="1" x14ac:dyDescent="0.2"/>
    <row r="1653" ht="15" customHeight="1" x14ac:dyDescent="0.2"/>
    <row r="1654" ht="15" customHeight="1" x14ac:dyDescent="0.2"/>
    <row r="1655" ht="15" customHeight="1" x14ac:dyDescent="0.2"/>
    <row r="1656" ht="15" customHeight="1" x14ac:dyDescent="0.2"/>
    <row r="1657" ht="15" customHeight="1" x14ac:dyDescent="0.2"/>
    <row r="1658" ht="15" customHeight="1" x14ac:dyDescent="0.2"/>
    <row r="1659" ht="15" customHeight="1" x14ac:dyDescent="0.2"/>
    <row r="1660" ht="15" customHeight="1" x14ac:dyDescent="0.2"/>
    <row r="1661" ht="15" customHeight="1" x14ac:dyDescent="0.2"/>
    <row r="1662" ht="15" customHeight="1" x14ac:dyDescent="0.2"/>
    <row r="1663" ht="15" customHeight="1" x14ac:dyDescent="0.2"/>
    <row r="1664" ht="15" customHeight="1" x14ac:dyDescent="0.2"/>
    <row r="1665" ht="15" customHeight="1" x14ac:dyDescent="0.2"/>
    <row r="1666" ht="15" customHeight="1" x14ac:dyDescent="0.2"/>
    <row r="1667" ht="15" customHeight="1" x14ac:dyDescent="0.2"/>
    <row r="1668" ht="15" customHeight="1" x14ac:dyDescent="0.2"/>
    <row r="1669" ht="15" customHeight="1" x14ac:dyDescent="0.2"/>
    <row r="1670" ht="15" customHeight="1" x14ac:dyDescent="0.2"/>
    <row r="1671" ht="15" customHeight="1" x14ac:dyDescent="0.2"/>
    <row r="1672" ht="15" customHeight="1" x14ac:dyDescent="0.2"/>
    <row r="1673" ht="15" customHeight="1" x14ac:dyDescent="0.2"/>
    <row r="1674" ht="15" customHeight="1" x14ac:dyDescent="0.2"/>
    <row r="1675" ht="15" customHeight="1" x14ac:dyDescent="0.2"/>
    <row r="1676" ht="15" customHeight="1" x14ac:dyDescent="0.2"/>
    <row r="1677" ht="15" customHeight="1" x14ac:dyDescent="0.2"/>
    <row r="1678" ht="15" customHeight="1" x14ac:dyDescent="0.2"/>
    <row r="1679" ht="15" customHeight="1" x14ac:dyDescent="0.2"/>
    <row r="1680" ht="15" customHeight="1" x14ac:dyDescent="0.2"/>
    <row r="1681" ht="15" customHeight="1" x14ac:dyDescent="0.2"/>
    <row r="1682" ht="15" customHeight="1" x14ac:dyDescent="0.2"/>
    <row r="1683" ht="15" customHeight="1" x14ac:dyDescent="0.2"/>
    <row r="1684" ht="15" customHeight="1" x14ac:dyDescent="0.2"/>
    <row r="1685" ht="15" customHeight="1" x14ac:dyDescent="0.2"/>
    <row r="1686" ht="15" customHeight="1" x14ac:dyDescent="0.2"/>
    <row r="1687" ht="15" customHeight="1" x14ac:dyDescent="0.2"/>
    <row r="1688" ht="15" customHeight="1" x14ac:dyDescent="0.2"/>
    <row r="1689" ht="15" customHeight="1" x14ac:dyDescent="0.2"/>
    <row r="1690" ht="15" customHeight="1" x14ac:dyDescent="0.2"/>
    <row r="1691" ht="15" customHeight="1" x14ac:dyDescent="0.2"/>
    <row r="1692" ht="15" customHeight="1" x14ac:dyDescent="0.2"/>
    <row r="1693" ht="15" customHeight="1" x14ac:dyDescent="0.2"/>
    <row r="1694" ht="15" customHeight="1" x14ac:dyDescent="0.2"/>
    <row r="1695" ht="15" customHeight="1" x14ac:dyDescent="0.2"/>
    <row r="1696" ht="15" customHeight="1" x14ac:dyDescent="0.2"/>
    <row r="1697" ht="15" customHeight="1" x14ac:dyDescent="0.2"/>
    <row r="1698" ht="15" customHeight="1" x14ac:dyDescent="0.2"/>
    <row r="1699" ht="15" customHeight="1" x14ac:dyDescent="0.2"/>
    <row r="1700" ht="15" customHeight="1" x14ac:dyDescent="0.2"/>
    <row r="1701" ht="15" customHeight="1" x14ac:dyDescent="0.2"/>
    <row r="1702" ht="15" customHeight="1" x14ac:dyDescent="0.2"/>
    <row r="1703" ht="15" customHeight="1" x14ac:dyDescent="0.2"/>
    <row r="1704" ht="15" customHeight="1" x14ac:dyDescent="0.2"/>
    <row r="1705" ht="15" customHeight="1" x14ac:dyDescent="0.2"/>
    <row r="1706" ht="15" customHeight="1" x14ac:dyDescent="0.2"/>
    <row r="1707" ht="15" customHeight="1" x14ac:dyDescent="0.2"/>
    <row r="1708" ht="15" customHeight="1" x14ac:dyDescent="0.2"/>
    <row r="1709" ht="15" customHeight="1" x14ac:dyDescent="0.2"/>
    <row r="1710" ht="15" customHeight="1" x14ac:dyDescent="0.2"/>
    <row r="1711" ht="15" customHeight="1" x14ac:dyDescent="0.2"/>
    <row r="1712" ht="15" customHeight="1" x14ac:dyDescent="0.2"/>
    <row r="1713" ht="15" customHeight="1" x14ac:dyDescent="0.2"/>
    <row r="1714" ht="15" customHeight="1" x14ac:dyDescent="0.2"/>
    <row r="1715" ht="15" customHeight="1" x14ac:dyDescent="0.2"/>
    <row r="1716" ht="15" customHeight="1" x14ac:dyDescent="0.2"/>
    <row r="1717" ht="15" customHeight="1" x14ac:dyDescent="0.2"/>
    <row r="1718" ht="15" customHeight="1" x14ac:dyDescent="0.2"/>
    <row r="1719" ht="15" customHeight="1" x14ac:dyDescent="0.2"/>
    <row r="1720" ht="15" customHeight="1" x14ac:dyDescent="0.2"/>
    <row r="1721" ht="15" customHeight="1" x14ac:dyDescent="0.2"/>
    <row r="1722" ht="15" customHeight="1" x14ac:dyDescent="0.2"/>
    <row r="1723" ht="15" customHeight="1" x14ac:dyDescent="0.2"/>
    <row r="1724" ht="15" customHeight="1" x14ac:dyDescent="0.2"/>
    <row r="1725" ht="15" customHeight="1" x14ac:dyDescent="0.2"/>
    <row r="1726" ht="15" customHeight="1" x14ac:dyDescent="0.2"/>
    <row r="1727" ht="15" customHeight="1" x14ac:dyDescent="0.2"/>
    <row r="1728" ht="15" customHeight="1" x14ac:dyDescent="0.2"/>
    <row r="1729" ht="15" customHeight="1" x14ac:dyDescent="0.2"/>
    <row r="1730" ht="15" customHeight="1" x14ac:dyDescent="0.2"/>
    <row r="1731" ht="15" customHeight="1" x14ac:dyDescent="0.2"/>
    <row r="1732" ht="15" customHeight="1" x14ac:dyDescent="0.2"/>
    <row r="1733" ht="15" customHeight="1" x14ac:dyDescent="0.2"/>
    <row r="1734" ht="15" customHeight="1" x14ac:dyDescent="0.2"/>
    <row r="1735" ht="15" customHeight="1" x14ac:dyDescent="0.2"/>
    <row r="1736" ht="15" customHeight="1" x14ac:dyDescent="0.2"/>
    <row r="1737" ht="15" customHeight="1" x14ac:dyDescent="0.2"/>
    <row r="1738" ht="15" customHeight="1" x14ac:dyDescent="0.2"/>
    <row r="1739" ht="15" customHeight="1" x14ac:dyDescent="0.2"/>
    <row r="1740" ht="15" customHeight="1" x14ac:dyDescent="0.2"/>
    <row r="1741" ht="15" customHeight="1" x14ac:dyDescent="0.2"/>
    <row r="1742" ht="15" customHeight="1" x14ac:dyDescent="0.2"/>
    <row r="1743" ht="15" customHeight="1" x14ac:dyDescent="0.2"/>
    <row r="1744" ht="15" customHeight="1" x14ac:dyDescent="0.2"/>
    <row r="1745" ht="15" customHeight="1" x14ac:dyDescent="0.2"/>
    <row r="1746" ht="15" customHeight="1" x14ac:dyDescent="0.2"/>
    <row r="1747" ht="15" customHeight="1" x14ac:dyDescent="0.2"/>
    <row r="1748" ht="15" customHeight="1" x14ac:dyDescent="0.2"/>
    <row r="1749" ht="15" customHeight="1" x14ac:dyDescent="0.2"/>
    <row r="1750" ht="15" customHeight="1" x14ac:dyDescent="0.2"/>
    <row r="1751" ht="15" customHeight="1" x14ac:dyDescent="0.2"/>
    <row r="1752" ht="15" customHeight="1" x14ac:dyDescent="0.2"/>
    <row r="1753" ht="15" customHeight="1" x14ac:dyDescent="0.2"/>
    <row r="1754" ht="15" customHeight="1" x14ac:dyDescent="0.2"/>
    <row r="1755" ht="15" customHeight="1" x14ac:dyDescent="0.2"/>
    <row r="1756" ht="15" customHeight="1" x14ac:dyDescent="0.2"/>
    <row r="1757" ht="15" customHeight="1" x14ac:dyDescent="0.2"/>
    <row r="1758" ht="15" customHeight="1" x14ac:dyDescent="0.2"/>
    <row r="1759" ht="15" customHeight="1" x14ac:dyDescent="0.2"/>
    <row r="1760" ht="15" customHeight="1" x14ac:dyDescent="0.2"/>
    <row r="1761" ht="15" customHeight="1" x14ac:dyDescent="0.2"/>
    <row r="1762" ht="15" customHeight="1" x14ac:dyDescent="0.2"/>
    <row r="1763" ht="15" customHeight="1" x14ac:dyDescent="0.2"/>
    <row r="1764" ht="15" customHeight="1" x14ac:dyDescent="0.2"/>
    <row r="1765" ht="15" customHeight="1" x14ac:dyDescent="0.2"/>
    <row r="1766" ht="15" customHeight="1" x14ac:dyDescent="0.2"/>
    <row r="1767" ht="15" customHeight="1" x14ac:dyDescent="0.2"/>
    <row r="1768" ht="15" customHeight="1" x14ac:dyDescent="0.2"/>
    <row r="1769" ht="15" customHeight="1" x14ac:dyDescent="0.2"/>
    <row r="1770" ht="15" customHeight="1" x14ac:dyDescent="0.2"/>
    <row r="1771" ht="15" customHeight="1" x14ac:dyDescent="0.2"/>
    <row r="1772" ht="15" customHeight="1" x14ac:dyDescent="0.2"/>
    <row r="1773" ht="15" customHeight="1" x14ac:dyDescent="0.2"/>
    <row r="1774" ht="15" customHeight="1" x14ac:dyDescent="0.2"/>
    <row r="1775" ht="15" customHeight="1" x14ac:dyDescent="0.2"/>
    <row r="1776" ht="15" customHeight="1" x14ac:dyDescent="0.2"/>
    <row r="1777" ht="15" customHeight="1" x14ac:dyDescent="0.2"/>
    <row r="1778" ht="15" customHeight="1" x14ac:dyDescent="0.2"/>
    <row r="1779" ht="15" customHeight="1" x14ac:dyDescent="0.2"/>
    <row r="1780" ht="15" customHeight="1" x14ac:dyDescent="0.2"/>
    <row r="1781" ht="15" customHeight="1" x14ac:dyDescent="0.2"/>
    <row r="1782" ht="15" customHeight="1" x14ac:dyDescent="0.2"/>
    <row r="1783" ht="15" customHeight="1" x14ac:dyDescent="0.2"/>
    <row r="1784" ht="15" customHeight="1" x14ac:dyDescent="0.2"/>
    <row r="1785" ht="15" customHeight="1" x14ac:dyDescent="0.2"/>
    <row r="1786" ht="15" customHeight="1" x14ac:dyDescent="0.2"/>
    <row r="1787" ht="15" customHeight="1" x14ac:dyDescent="0.2"/>
    <row r="1788" ht="15" customHeight="1" x14ac:dyDescent="0.2"/>
    <row r="1789" ht="15" customHeight="1" x14ac:dyDescent="0.2"/>
    <row r="1790" ht="15" customHeight="1" x14ac:dyDescent="0.2"/>
    <row r="1791" ht="15" customHeight="1" x14ac:dyDescent="0.2"/>
    <row r="1792" ht="15" customHeight="1" x14ac:dyDescent="0.2"/>
    <row r="1793" ht="15" customHeight="1" x14ac:dyDescent="0.2"/>
    <row r="1794" ht="15" customHeight="1" x14ac:dyDescent="0.2"/>
    <row r="1795" ht="15" customHeight="1" x14ac:dyDescent="0.2"/>
    <row r="1796" ht="15" customHeight="1" x14ac:dyDescent="0.2"/>
    <row r="1797" ht="15" customHeight="1" x14ac:dyDescent="0.2"/>
    <row r="1798" ht="15" customHeight="1" x14ac:dyDescent="0.2"/>
    <row r="1799" ht="15" customHeight="1" x14ac:dyDescent="0.2"/>
    <row r="1800" ht="15" customHeight="1" x14ac:dyDescent="0.2"/>
    <row r="1801" ht="15" customHeight="1" x14ac:dyDescent="0.2"/>
    <row r="1802" ht="15" customHeight="1" x14ac:dyDescent="0.2"/>
    <row r="1803" ht="15" customHeight="1" x14ac:dyDescent="0.2"/>
    <row r="1804" ht="15" customHeight="1" x14ac:dyDescent="0.2"/>
    <row r="1805" ht="15" customHeight="1" x14ac:dyDescent="0.2"/>
    <row r="1806" ht="15" customHeight="1" x14ac:dyDescent="0.2"/>
    <row r="1807" ht="15" customHeight="1" x14ac:dyDescent="0.2"/>
    <row r="1808" ht="15" customHeight="1" x14ac:dyDescent="0.2"/>
    <row r="1809" ht="15" customHeight="1" x14ac:dyDescent="0.2"/>
    <row r="1810" ht="15" customHeight="1" x14ac:dyDescent="0.2"/>
    <row r="1811" ht="15" customHeight="1" x14ac:dyDescent="0.2"/>
    <row r="1812" ht="15" customHeight="1" x14ac:dyDescent="0.2"/>
    <row r="1813" ht="15" customHeight="1" x14ac:dyDescent="0.2"/>
    <row r="1814" ht="15" customHeight="1" x14ac:dyDescent="0.2"/>
    <row r="1815" ht="15" customHeight="1" x14ac:dyDescent="0.2"/>
    <row r="1816" ht="15" customHeight="1" x14ac:dyDescent="0.2"/>
    <row r="1817" ht="15" customHeight="1" x14ac:dyDescent="0.2"/>
    <row r="1818" ht="15" customHeight="1" x14ac:dyDescent="0.2"/>
    <row r="1819" ht="15" customHeight="1" x14ac:dyDescent="0.2"/>
    <row r="1820" ht="15" customHeight="1" x14ac:dyDescent="0.2"/>
    <row r="1821" ht="15" customHeight="1" x14ac:dyDescent="0.2"/>
    <row r="1822" ht="15" customHeight="1" x14ac:dyDescent="0.2"/>
    <row r="1823" ht="15" customHeight="1" x14ac:dyDescent="0.2"/>
    <row r="1824" ht="15" customHeight="1" x14ac:dyDescent="0.2"/>
    <row r="1825" ht="15" customHeight="1" x14ac:dyDescent="0.2"/>
    <row r="1826" ht="15" customHeight="1" x14ac:dyDescent="0.2"/>
    <row r="1827" ht="15" customHeight="1" x14ac:dyDescent="0.2"/>
    <row r="1828" ht="15" customHeight="1" x14ac:dyDescent="0.2"/>
    <row r="1829" ht="15" customHeight="1" x14ac:dyDescent="0.2"/>
    <row r="1830" ht="15" customHeight="1" x14ac:dyDescent="0.2"/>
    <row r="1831" ht="15" customHeight="1" x14ac:dyDescent="0.2"/>
    <row r="1832" ht="15" customHeight="1" x14ac:dyDescent="0.2"/>
    <row r="1833" ht="15" customHeight="1" x14ac:dyDescent="0.2"/>
    <row r="1834" ht="15" customHeight="1" x14ac:dyDescent="0.2"/>
    <row r="1835" ht="15" customHeight="1" x14ac:dyDescent="0.2"/>
    <row r="1836" ht="15" customHeight="1" x14ac:dyDescent="0.2"/>
    <row r="1837" ht="15" customHeight="1" x14ac:dyDescent="0.2"/>
    <row r="1838" ht="15" customHeight="1" x14ac:dyDescent="0.2"/>
    <row r="1839" ht="15" customHeight="1" x14ac:dyDescent="0.2"/>
    <row r="1840" ht="15" customHeight="1" x14ac:dyDescent="0.2"/>
    <row r="1841" ht="15" customHeight="1" x14ac:dyDescent="0.2"/>
    <row r="1842" ht="15" customHeight="1" x14ac:dyDescent="0.2"/>
    <row r="1843" ht="15" customHeight="1" x14ac:dyDescent="0.2"/>
    <row r="1844" ht="15" customHeight="1" x14ac:dyDescent="0.2"/>
    <row r="1845" ht="15" customHeight="1" x14ac:dyDescent="0.2"/>
    <row r="1846" ht="15" customHeight="1" x14ac:dyDescent="0.2"/>
    <row r="1847" ht="15" customHeight="1" x14ac:dyDescent="0.2"/>
    <row r="1848" ht="15" customHeight="1" x14ac:dyDescent="0.2"/>
    <row r="1849" ht="15" customHeight="1" x14ac:dyDescent="0.2"/>
    <row r="1850" ht="15" customHeight="1" x14ac:dyDescent="0.2"/>
    <row r="1851" ht="15" customHeight="1" x14ac:dyDescent="0.2"/>
    <row r="1852" ht="15" customHeight="1" x14ac:dyDescent="0.2"/>
    <row r="1853" ht="15" customHeight="1" x14ac:dyDescent="0.2"/>
    <row r="1854" ht="15" customHeight="1" x14ac:dyDescent="0.2"/>
    <row r="1855" ht="15" customHeight="1" x14ac:dyDescent="0.2"/>
    <row r="1856" ht="15" customHeight="1" x14ac:dyDescent="0.2"/>
    <row r="1857" ht="15" customHeight="1" x14ac:dyDescent="0.2"/>
    <row r="1858" ht="15" customHeight="1" x14ac:dyDescent="0.2"/>
    <row r="1859" ht="15" customHeight="1" x14ac:dyDescent="0.2"/>
    <row r="1860" ht="15" customHeight="1" x14ac:dyDescent="0.2"/>
    <row r="1861" ht="15" customHeight="1" x14ac:dyDescent="0.2"/>
    <row r="1862" ht="15" customHeight="1" x14ac:dyDescent="0.2"/>
    <row r="1863" ht="15" customHeight="1" x14ac:dyDescent="0.2"/>
    <row r="1864" ht="15" customHeight="1" x14ac:dyDescent="0.2"/>
    <row r="1865" ht="15" customHeight="1" x14ac:dyDescent="0.2"/>
    <row r="1866" ht="15" customHeight="1" x14ac:dyDescent="0.2"/>
    <row r="1867" ht="15" customHeight="1" x14ac:dyDescent="0.2"/>
    <row r="1868" ht="15" customHeight="1" x14ac:dyDescent="0.2"/>
    <row r="1869" ht="15" customHeight="1" x14ac:dyDescent="0.2"/>
    <row r="1870" ht="15" customHeight="1" x14ac:dyDescent="0.2"/>
    <row r="1871" ht="15" customHeight="1" x14ac:dyDescent="0.2"/>
    <row r="1872" ht="15" customHeight="1" x14ac:dyDescent="0.2"/>
    <row r="1873" ht="15" customHeight="1" x14ac:dyDescent="0.2"/>
    <row r="1874" ht="15" customHeight="1" x14ac:dyDescent="0.2"/>
    <row r="1875" ht="15" customHeight="1" x14ac:dyDescent="0.2"/>
    <row r="1876" ht="15" customHeight="1" x14ac:dyDescent="0.2"/>
    <row r="1877" ht="15" customHeight="1" x14ac:dyDescent="0.2"/>
    <row r="1878" ht="15" customHeight="1" x14ac:dyDescent="0.2"/>
    <row r="1879" ht="15" customHeight="1" x14ac:dyDescent="0.2"/>
    <row r="1880" ht="15" customHeight="1" x14ac:dyDescent="0.2"/>
    <row r="1881" ht="15" customHeight="1" x14ac:dyDescent="0.2"/>
    <row r="1882" ht="15" customHeight="1" x14ac:dyDescent="0.2"/>
    <row r="1883" ht="15" customHeight="1" x14ac:dyDescent="0.2"/>
    <row r="1884" ht="15" customHeight="1" x14ac:dyDescent="0.2"/>
    <row r="1885" ht="15" customHeight="1" x14ac:dyDescent="0.2"/>
    <row r="1886" ht="15" customHeight="1" x14ac:dyDescent="0.2"/>
    <row r="1887" ht="15" customHeight="1" x14ac:dyDescent="0.2"/>
    <row r="1888" ht="15" customHeight="1" x14ac:dyDescent="0.2"/>
    <row r="1889" ht="15" customHeight="1" x14ac:dyDescent="0.2"/>
    <row r="1890" ht="15" customHeight="1" x14ac:dyDescent="0.2"/>
    <row r="1891" ht="15" customHeight="1" x14ac:dyDescent="0.2"/>
    <row r="1892" ht="15" customHeight="1" x14ac:dyDescent="0.2"/>
    <row r="1893" ht="15" customHeight="1" x14ac:dyDescent="0.2"/>
    <row r="1894" ht="15" customHeight="1" x14ac:dyDescent="0.2"/>
    <row r="1895" ht="15" customHeight="1" x14ac:dyDescent="0.2"/>
    <row r="1896" ht="15" customHeight="1" x14ac:dyDescent="0.2"/>
    <row r="1897" ht="15" customHeight="1" x14ac:dyDescent="0.2"/>
    <row r="1898" ht="15" customHeight="1" x14ac:dyDescent="0.2"/>
    <row r="1899" ht="15" customHeight="1" x14ac:dyDescent="0.2"/>
    <row r="1900" ht="15" customHeight="1" x14ac:dyDescent="0.2"/>
    <row r="1901" ht="15" customHeight="1" x14ac:dyDescent="0.2"/>
    <row r="1902" ht="15" customHeight="1" x14ac:dyDescent="0.2"/>
    <row r="1903" ht="15" customHeight="1" x14ac:dyDescent="0.2"/>
    <row r="1904" ht="15" customHeight="1" x14ac:dyDescent="0.2"/>
    <row r="1905" ht="15" customHeight="1" x14ac:dyDescent="0.2"/>
    <row r="1906" ht="15" customHeight="1" x14ac:dyDescent="0.2"/>
    <row r="1907" ht="15" customHeight="1" x14ac:dyDescent="0.2"/>
    <row r="1908" ht="15" customHeight="1" x14ac:dyDescent="0.2"/>
    <row r="1909" ht="15" customHeight="1" x14ac:dyDescent="0.2"/>
    <row r="1910" ht="15" customHeight="1" x14ac:dyDescent="0.2"/>
    <row r="1911" ht="15" customHeight="1" x14ac:dyDescent="0.2"/>
    <row r="1912" ht="15" customHeight="1" x14ac:dyDescent="0.2"/>
    <row r="1913" ht="15" customHeight="1" x14ac:dyDescent="0.2"/>
    <row r="1914" ht="15" customHeight="1" x14ac:dyDescent="0.2"/>
    <row r="1915" ht="15" customHeight="1" x14ac:dyDescent="0.2"/>
    <row r="1916" ht="15" customHeight="1" x14ac:dyDescent="0.2"/>
    <row r="1917" ht="15" customHeight="1" x14ac:dyDescent="0.2"/>
    <row r="1918" ht="15" customHeight="1" x14ac:dyDescent="0.2"/>
    <row r="1919" ht="15" customHeight="1" x14ac:dyDescent="0.2"/>
    <row r="1920" ht="15" customHeight="1" x14ac:dyDescent="0.2"/>
    <row r="1921" ht="15" customHeight="1" x14ac:dyDescent="0.2"/>
    <row r="1922" ht="15" customHeight="1" x14ac:dyDescent="0.2"/>
    <row r="1923" ht="15" customHeight="1" x14ac:dyDescent="0.2"/>
    <row r="1924" ht="15" customHeight="1" x14ac:dyDescent="0.2"/>
    <row r="1925" ht="15" customHeight="1" x14ac:dyDescent="0.2"/>
    <row r="1926" ht="15" customHeight="1" x14ac:dyDescent="0.2"/>
    <row r="1927" ht="15" customHeight="1" x14ac:dyDescent="0.2"/>
    <row r="1928" ht="15" customHeight="1" x14ac:dyDescent="0.2"/>
    <row r="1929" ht="15" customHeight="1" x14ac:dyDescent="0.2"/>
    <row r="1930" ht="15" customHeight="1" x14ac:dyDescent="0.2"/>
    <row r="1931" ht="15" customHeight="1" x14ac:dyDescent="0.2"/>
    <row r="1932" ht="15" customHeight="1" x14ac:dyDescent="0.2"/>
    <row r="1933" ht="15" customHeight="1" x14ac:dyDescent="0.2"/>
    <row r="1934" ht="15" customHeight="1" x14ac:dyDescent="0.2"/>
    <row r="1935" ht="15" customHeight="1" x14ac:dyDescent="0.2"/>
    <row r="1936" ht="15" customHeight="1" x14ac:dyDescent="0.2"/>
    <row r="1937" ht="15" customHeight="1" x14ac:dyDescent="0.2"/>
    <row r="1938" ht="15" customHeight="1" x14ac:dyDescent="0.2"/>
    <row r="1939" ht="15" customHeight="1" x14ac:dyDescent="0.2"/>
    <row r="1940" ht="15" customHeight="1" x14ac:dyDescent="0.2"/>
    <row r="1941" ht="15" customHeight="1" x14ac:dyDescent="0.2"/>
    <row r="1942" ht="15" customHeight="1" x14ac:dyDescent="0.2"/>
    <row r="1943" ht="15" customHeight="1" x14ac:dyDescent="0.2"/>
    <row r="1944" ht="15" customHeight="1" x14ac:dyDescent="0.2"/>
    <row r="1945" ht="15" customHeight="1" x14ac:dyDescent="0.2"/>
    <row r="1946" ht="15" customHeight="1" x14ac:dyDescent="0.2"/>
    <row r="1947" ht="15" customHeight="1" x14ac:dyDescent="0.2"/>
    <row r="1948" ht="15" customHeight="1" x14ac:dyDescent="0.2"/>
    <row r="1949" ht="15" customHeight="1" x14ac:dyDescent="0.2"/>
    <row r="1950" ht="15" customHeight="1" x14ac:dyDescent="0.2"/>
    <row r="1951" ht="15" customHeight="1" x14ac:dyDescent="0.2"/>
    <row r="1952" ht="15" customHeight="1" x14ac:dyDescent="0.2"/>
    <row r="1953" ht="15" customHeight="1" x14ac:dyDescent="0.2"/>
    <row r="1954" ht="15" customHeight="1" x14ac:dyDescent="0.2"/>
    <row r="1955" ht="15" customHeight="1" x14ac:dyDescent="0.2"/>
    <row r="1956" ht="15" customHeight="1" x14ac:dyDescent="0.2"/>
    <row r="1957" ht="15" customHeight="1" x14ac:dyDescent="0.2"/>
    <row r="1958" ht="15" customHeight="1" x14ac:dyDescent="0.2"/>
    <row r="1959" ht="15" customHeight="1" x14ac:dyDescent="0.2"/>
    <row r="1960" ht="15" customHeight="1" x14ac:dyDescent="0.2"/>
    <row r="1961" ht="15" customHeight="1" x14ac:dyDescent="0.2"/>
    <row r="1962" ht="15" customHeight="1" x14ac:dyDescent="0.2"/>
    <row r="1963" ht="15" customHeight="1" x14ac:dyDescent="0.2"/>
    <row r="1964" ht="15" customHeight="1" x14ac:dyDescent="0.2"/>
    <row r="1965" ht="15" customHeight="1" x14ac:dyDescent="0.2"/>
    <row r="1966" ht="15" customHeight="1" x14ac:dyDescent="0.2"/>
    <row r="1967" ht="15" customHeight="1" x14ac:dyDescent="0.2"/>
    <row r="1968" ht="15" customHeight="1" x14ac:dyDescent="0.2"/>
    <row r="1969" ht="15" customHeight="1" x14ac:dyDescent="0.2"/>
    <row r="1970" ht="15" customHeight="1" x14ac:dyDescent="0.2"/>
    <row r="1971" ht="15" customHeight="1" x14ac:dyDescent="0.2"/>
    <row r="1972" ht="15" customHeight="1" x14ac:dyDescent="0.2"/>
    <row r="1973" ht="15" customHeight="1" x14ac:dyDescent="0.2"/>
    <row r="1974" ht="15" customHeight="1" x14ac:dyDescent="0.2"/>
    <row r="1975" ht="15" customHeight="1" x14ac:dyDescent="0.2"/>
    <row r="1976" ht="15" customHeight="1" x14ac:dyDescent="0.2"/>
    <row r="1977" ht="15" customHeight="1" x14ac:dyDescent="0.2"/>
    <row r="1978" ht="15" customHeight="1" x14ac:dyDescent="0.2"/>
    <row r="1979" ht="15" customHeight="1" x14ac:dyDescent="0.2"/>
    <row r="1980" ht="15" customHeight="1" x14ac:dyDescent="0.2"/>
    <row r="1981" ht="15" customHeight="1" x14ac:dyDescent="0.2"/>
    <row r="1982" ht="15" customHeight="1" x14ac:dyDescent="0.2"/>
    <row r="1983" ht="15" customHeight="1" x14ac:dyDescent="0.2"/>
    <row r="1984" ht="15" customHeight="1" x14ac:dyDescent="0.2"/>
    <row r="1985" ht="15" customHeight="1" x14ac:dyDescent="0.2"/>
    <row r="1986" ht="15" customHeight="1" x14ac:dyDescent="0.2"/>
    <row r="1987" ht="15" customHeight="1" x14ac:dyDescent="0.2"/>
    <row r="1988" ht="15" customHeight="1" x14ac:dyDescent="0.2"/>
    <row r="1989" ht="15" customHeight="1" x14ac:dyDescent="0.2"/>
    <row r="1990" ht="15" customHeight="1" x14ac:dyDescent="0.2"/>
    <row r="1991" ht="15" customHeight="1" x14ac:dyDescent="0.2"/>
    <row r="1992" ht="15" customHeight="1" x14ac:dyDescent="0.2"/>
    <row r="1993" ht="15" customHeight="1" x14ac:dyDescent="0.2"/>
    <row r="1994" ht="15" customHeight="1" x14ac:dyDescent="0.2"/>
    <row r="1995" ht="15" customHeight="1" x14ac:dyDescent="0.2"/>
    <row r="1996" ht="15" customHeight="1" x14ac:dyDescent="0.2"/>
    <row r="1997" ht="15" customHeight="1" x14ac:dyDescent="0.2"/>
    <row r="1998" ht="15" customHeight="1" x14ac:dyDescent="0.2"/>
    <row r="1999" ht="15" customHeight="1" x14ac:dyDescent="0.2"/>
    <row r="2000" ht="15" customHeight="1" x14ac:dyDescent="0.2"/>
    <row r="2001" ht="15" customHeight="1" x14ac:dyDescent="0.2"/>
    <row r="2002" ht="15" customHeight="1" x14ac:dyDescent="0.2"/>
    <row r="2003" ht="15" customHeight="1" x14ac:dyDescent="0.2"/>
    <row r="2004" ht="15" customHeight="1" x14ac:dyDescent="0.2"/>
    <row r="2005" ht="15" customHeight="1" x14ac:dyDescent="0.2"/>
    <row r="2006" ht="15" customHeight="1" x14ac:dyDescent="0.2"/>
    <row r="2007" ht="15" customHeight="1" x14ac:dyDescent="0.2"/>
    <row r="2008" ht="15" customHeight="1" x14ac:dyDescent="0.2"/>
    <row r="2009" ht="15" customHeight="1" x14ac:dyDescent="0.2"/>
    <row r="2010" ht="15" customHeight="1" x14ac:dyDescent="0.2"/>
    <row r="2011" ht="15" customHeight="1" x14ac:dyDescent="0.2"/>
    <row r="2012" ht="15" customHeight="1" x14ac:dyDescent="0.2"/>
    <row r="2013" ht="15" customHeight="1" x14ac:dyDescent="0.2"/>
    <row r="2014" ht="15" customHeight="1" x14ac:dyDescent="0.2"/>
    <row r="2015" ht="15" customHeight="1" x14ac:dyDescent="0.2"/>
    <row r="2016" ht="15" customHeight="1" x14ac:dyDescent="0.2"/>
    <row r="2017" ht="15" customHeight="1" x14ac:dyDescent="0.2"/>
    <row r="2018" ht="15" customHeight="1" x14ac:dyDescent="0.2"/>
    <row r="2019" ht="15" customHeight="1" x14ac:dyDescent="0.2"/>
    <row r="2020" ht="15" customHeight="1" x14ac:dyDescent="0.2"/>
    <row r="2021" ht="15" customHeight="1" x14ac:dyDescent="0.2"/>
    <row r="2022" ht="15" customHeight="1" x14ac:dyDescent="0.2"/>
    <row r="2023" ht="15" customHeight="1" x14ac:dyDescent="0.2"/>
    <row r="2024" ht="15" customHeight="1" x14ac:dyDescent="0.2"/>
    <row r="2025" ht="15" customHeight="1" x14ac:dyDescent="0.2"/>
    <row r="2026" ht="15" customHeight="1" x14ac:dyDescent="0.2"/>
    <row r="2027" ht="15" customHeight="1" x14ac:dyDescent="0.2"/>
    <row r="2028" ht="15" customHeight="1" x14ac:dyDescent="0.2"/>
    <row r="2029" ht="15" customHeight="1" x14ac:dyDescent="0.2"/>
    <row r="2030" ht="15" customHeight="1" x14ac:dyDescent="0.2"/>
    <row r="2031" ht="15" customHeight="1" x14ac:dyDescent="0.2"/>
    <row r="2032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  <row r="2050" ht="15" customHeight="1" x14ac:dyDescent="0.2"/>
    <row r="2051" ht="15" customHeight="1" x14ac:dyDescent="0.2"/>
    <row r="2052" ht="15" customHeight="1" x14ac:dyDescent="0.2"/>
    <row r="2053" ht="15" customHeight="1" x14ac:dyDescent="0.2"/>
    <row r="2054" ht="15" customHeight="1" x14ac:dyDescent="0.2"/>
    <row r="2055" ht="15" customHeight="1" x14ac:dyDescent="0.2"/>
    <row r="2056" ht="15" customHeight="1" x14ac:dyDescent="0.2"/>
    <row r="2057" ht="15" customHeight="1" x14ac:dyDescent="0.2"/>
    <row r="2058" ht="15" customHeight="1" x14ac:dyDescent="0.2"/>
    <row r="2059" ht="15" customHeight="1" x14ac:dyDescent="0.2"/>
    <row r="2060" ht="15" customHeight="1" x14ac:dyDescent="0.2"/>
    <row r="2061" ht="15" customHeight="1" x14ac:dyDescent="0.2"/>
    <row r="2062" ht="15" customHeight="1" x14ac:dyDescent="0.2"/>
    <row r="2063" ht="15" customHeight="1" x14ac:dyDescent="0.2"/>
    <row r="2064" ht="15" customHeight="1" x14ac:dyDescent="0.2"/>
    <row r="2065" ht="15" customHeight="1" x14ac:dyDescent="0.2"/>
    <row r="2066" ht="15" customHeight="1" x14ac:dyDescent="0.2"/>
    <row r="2067" ht="15" customHeight="1" x14ac:dyDescent="0.2"/>
    <row r="2068" ht="15" customHeight="1" x14ac:dyDescent="0.2"/>
    <row r="2069" ht="15" customHeight="1" x14ac:dyDescent="0.2"/>
    <row r="2070" ht="15" customHeight="1" x14ac:dyDescent="0.2"/>
    <row r="2071" ht="15" customHeight="1" x14ac:dyDescent="0.2"/>
    <row r="2072" ht="15" customHeight="1" x14ac:dyDescent="0.2"/>
    <row r="2073" ht="15" customHeight="1" x14ac:dyDescent="0.2"/>
    <row r="2074" ht="15" customHeight="1" x14ac:dyDescent="0.2"/>
    <row r="2075" ht="15" customHeight="1" x14ac:dyDescent="0.2"/>
    <row r="2076" ht="15" customHeight="1" x14ac:dyDescent="0.2"/>
    <row r="2077" ht="15" customHeight="1" x14ac:dyDescent="0.2"/>
    <row r="2078" ht="15" customHeight="1" x14ac:dyDescent="0.2"/>
    <row r="2079" ht="15" customHeight="1" x14ac:dyDescent="0.2"/>
    <row r="2080" ht="15" customHeight="1" x14ac:dyDescent="0.2"/>
    <row r="2081" ht="15" customHeight="1" x14ac:dyDescent="0.2"/>
    <row r="2082" ht="15" customHeight="1" x14ac:dyDescent="0.2"/>
    <row r="2083" ht="15" customHeight="1" x14ac:dyDescent="0.2"/>
    <row r="2084" ht="15" customHeight="1" x14ac:dyDescent="0.2"/>
    <row r="2085" ht="15" customHeight="1" x14ac:dyDescent="0.2"/>
    <row r="2086" ht="15" customHeight="1" x14ac:dyDescent="0.2"/>
    <row r="2087" ht="15" customHeight="1" x14ac:dyDescent="0.2"/>
    <row r="2088" ht="15" customHeight="1" x14ac:dyDescent="0.2"/>
    <row r="2089" ht="15" customHeight="1" x14ac:dyDescent="0.2"/>
    <row r="2090" ht="15" customHeight="1" x14ac:dyDescent="0.2"/>
    <row r="2091" ht="15" customHeight="1" x14ac:dyDescent="0.2"/>
    <row r="2092" ht="15" customHeight="1" x14ac:dyDescent="0.2"/>
    <row r="2093" ht="15" customHeight="1" x14ac:dyDescent="0.2"/>
    <row r="2094" ht="15" customHeight="1" x14ac:dyDescent="0.2"/>
    <row r="2095" ht="15" customHeight="1" x14ac:dyDescent="0.2"/>
    <row r="2096" ht="15" customHeight="1" x14ac:dyDescent="0.2"/>
    <row r="2097" ht="15" customHeight="1" x14ac:dyDescent="0.2"/>
    <row r="2098" ht="15" customHeight="1" x14ac:dyDescent="0.2"/>
    <row r="2099" ht="15" customHeight="1" x14ac:dyDescent="0.2"/>
    <row r="2100" ht="15" customHeight="1" x14ac:dyDescent="0.2"/>
    <row r="2101" ht="15" customHeight="1" x14ac:dyDescent="0.2"/>
    <row r="2102" ht="15" customHeight="1" x14ac:dyDescent="0.2"/>
    <row r="2103" ht="15" customHeight="1" x14ac:dyDescent="0.2"/>
    <row r="2104" ht="15" customHeight="1" x14ac:dyDescent="0.2"/>
    <row r="2105" ht="15" customHeight="1" x14ac:dyDescent="0.2"/>
    <row r="2106" ht="15" customHeight="1" x14ac:dyDescent="0.2"/>
    <row r="2107" ht="15" customHeight="1" x14ac:dyDescent="0.2"/>
    <row r="2108" ht="15" customHeight="1" x14ac:dyDescent="0.2"/>
    <row r="2109" ht="15" customHeight="1" x14ac:dyDescent="0.2"/>
    <row r="2110" ht="15" customHeight="1" x14ac:dyDescent="0.2"/>
    <row r="2111" ht="15" customHeight="1" x14ac:dyDescent="0.2"/>
    <row r="2112" ht="15" customHeight="1" x14ac:dyDescent="0.2"/>
    <row r="2113" ht="15" customHeight="1" x14ac:dyDescent="0.2"/>
    <row r="2114" ht="15" customHeight="1" x14ac:dyDescent="0.2"/>
    <row r="2115" ht="15" customHeight="1" x14ac:dyDescent="0.2"/>
    <row r="2116" ht="15" customHeight="1" x14ac:dyDescent="0.2"/>
    <row r="2117" ht="15" customHeight="1" x14ac:dyDescent="0.2"/>
    <row r="2118" ht="15" customHeight="1" x14ac:dyDescent="0.2"/>
    <row r="2119" ht="15" customHeight="1" x14ac:dyDescent="0.2"/>
    <row r="2120" ht="15" customHeight="1" x14ac:dyDescent="0.2"/>
    <row r="2121" ht="15" customHeight="1" x14ac:dyDescent="0.2"/>
    <row r="2122" ht="15" customHeight="1" x14ac:dyDescent="0.2"/>
    <row r="2123" ht="15" customHeight="1" x14ac:dyDescent="0.2"/>
    <row r="2124" ht="15" customHeight="1" x14ac:dyDescent="0.2"/>
    <row r="2125" ht="15" customHeight="1" x14ac:dyDescent="0.2"/>
    <row r="2126" ht="15" customHeight="1" x14ac:dyDescent="0.2"/>
    <row r="2127" ht="15" customHeight="1" x14ac:dyDescent="0.2"/>
    <row r="2128" ht="15" customHeight="1" x14ac:dyDescent="0.2"/>
    <row r="2129" ht="15" customHeight="1" x14ac:dyDescent="0.2"/>
    <row r="2130" ht="15" customHeight="1" x14ac:dyDescent="0.2"/>
    <row r="2131" ht="15" customHeight="1" x14ac:dyDescent="0.2"/>
    <row r="2132" ht="15" customHeight="1" x14ac:dyDescent="0.2"/>
    <row r="2133" ht="15" customHeight="1" x14ac:dyDescent="0.2"/>
    <row r="2134" ht="15" customHeight="1" x14ac:dyDescent="0.2"/>
    <row r="2135" ht="15" customHeight="1" x14ac:dyDescent="0.2"/>
    <row r="2136" ht="15" customHeight="1" x14ac:dyDescent="0.2"/>
    <row r="2137" ht="15" customHeight="1" x14ac:dyDescent="0.2"/>
    <row r="2138" ht="15" customHeight="1" x14ac:dyDescent="0.2"/>
    <row r="2139" ht="15" customHeight="1" x14ac:dyDescent="0.2"/>
    <row r="2140" ht="15" customHeight="1" x14ac:dyDescent="0.2"/>
    <row r="2141" ht="15" customHeight="1" x14ac:dyDescent="0.2"/>
    <row r="2142" ht="15" customHeight="1" x14ac:dyDescent="0.2"/>
    <row r="2143" ht="15" customHeight="1" x14ac:dyDescent="0.2"/>
    <row r="2144" ht="15" customHeight="1" x14ac:dyDescent="0.2"/>
    <row r="2145" ht="15" customHeight="1" x14ac:dyDescent="0.2"/>
    <row r="2146" ht="15" customHeight="1" x14ac:dyDescent="0.2"/>
    <row r="2147" ht="15" customHeight="1" x14ac:dyDescent="0.2"/>
    <row r="2148" ht="15" customHeight="1" x14ac:dyDescent="0.2"/>
    <row r="2149" ht="15" customHeight="1" x14ac:dyDescent="0.2"/>
    <row r="2150" ht="15" customHeight="1" x14ac:dyDescent="0.2"/>
    <row r="2151" ht="15" customHeight="1" x14ac:dyDescent="0.2"/>
    <row r="2152" ht="15" customHeight="1" x14ac:dyDescent="0.2"/>
    <row r="2153" ht="15" customHeight="1" x14ac:dyDescent="0.2"/>
    <row r="2154" ht="15" customHeight="1" x14ac:dyDescent="0.2"/>
    <row r="2155" ht="15" customHeight="1" x14ac:dyDescent="0.2"/>
    <row r="2156" ht="15" customHeight="1" x14ac:dyDescent="0.2"/>
    <row r="2157" ht="15" customHeight="1" x14ac:dyDescent="0.2"/>
    <row r="2158" ht="15" customHeight="1" x14ac:dyDescent="0.2"/>
    <row r="2159" ht="15" customHeight="1" x14ac:dyDescent="0.2"/>
    <row r="2160" ht="15" customHeight="1" x14ac:dyDescent="0.2"/>
    <row r="2161" ht="15" customHeight="1" x14ac:dyDescent="0.2"/>
    <row r="2162" ht="15" customHeight="1" x14ac:dyDescent="0.2"/>
    <row r="2163" ht="15" customHeight="1" x14ac:dyDescent="0.2"/>
    <row r="2164" ht="15" customHeight="1" x14ac:dyDescent="0.2"/>
    <row r="2165" ht="15" customHeight="1" x14ac:dyDescent="0.2"/>
    <row r="2166" ht="15" customHeight="1" x14ac:dyDescent="0.2"/>
    <row r="2167" ht="15" customHeight="1" x14ac:dyDescent="0.2"/>
    <row r="2168" ht="15" customHeight="1" x14ac:dyDescent="0.2"/>
    <row r="2169" ht="15" customHeight="1" x14ac:dyDescent="0.2"/>
    <row r="2170" ht="15" customHeight="1" x14ac:dyDescent="0.2"/>
    <row r="2171" ht="15" customHeight="1" x14ac:dyDescent="0.2"/>
    <row r="2172" ht="15" customHeight="1" x14ac:dyDescent="0.2"/>
    <row r="2173" ht="15" customHeight="1" x14ac:dyDescent="0.2"/>
    <row r="2174" ht="15" customHeight="1" x14ac:dyDescent="0.2"/>
    <row r="2175" ht="15" customHeight="1" x14ac:dyDescent="0.2"/>
    <row r="2176" ht="15" customHeight="1" x14ac:dyDescent="0.2"/>
    <row r="2177" ht="15" customHeight="1" x14ac:dyDescent="0.2"/>
    <row r="2178" ht="15" customHeight="1" x14ac:dyDescent="0.2"/>
    <row r="2179" ht="15" customHeight="1" x14ac:dyDescent="0.2"/>
    <row r="2180" ht="15" customHeight="1" x14ac:dyDescent="0.2"/>
    <row r="2181" ht="15" customHeight="1" x14ac:dyDescent="0.2"/>
    <row r="2182" ht="15" customHeight="1" x14ac:dyDescent="0.2"/>
    <row r="2183" ht="15" customHeight="1" x14ac:dyDescent="0.2"/>
    <row r="2184" ht="15" customHeight="1" x14ac:dyDescent="0.2"/>
    <row r="2185" ht="15" customHeight="1" x14ac:dyDescent="0.2"/>
    <row r="2186" ht="15" customHeight="1" x14ac:dyDescent="0.2"/>
    <row r="2187" ht="15" customHeight="1" x14ac:dyDescent="0.2"/>
    <row r="2188" ht="15" customHeight="1" x14ac:dyDescent="0.2"/>
    <row r="2189" ht="15" customHeight="1" x14ac:dyDescent="0.2"/>
    <row r="2190" ht="15" customHeight="1" x14ac:dyDescent="0.2"/>
    <row r="2191" ht="15" customHeight="1" x14ac:dyDescent="0.2"/>
    <row r="2192" ht="15" customHeight="1" x14ac:dyDescent="0.2"/>
    <row r="2193" ht="15" customHeight="1" x14ac:dyDescent="0.2"/>
    <row r="2194" ht="15" customHeight="1" x14ac:dyDescent="0.2"/>
    <row r="2195" ht="15" customHeight="1" x14ac:dyDescent="0.2"/>
    <row r="2196" ht="15" customHeight="1" x14ac:dyDescent="0.2"/>
    <row r="2197" ht="15" customHeight="1" x14ac:dyDescent="0.2"/>
    <row r="2198" ht="15" customHeight="1" x14ac:dyDescent="0.2"/>
    <row r="2199" ht="15" customHeight="1" x14ac:dyDescent="0.2"/>
    <row r="2200" ht="15" customHeight="1" x14ac:dyDescent="0.2"/>
    <row r="2201" ht="15" customHeight="1" x14ac:dyDescent="0.2"/>
    <row r="2202" ht="15" customHeight="1" x14ac:dyDescent="0.2"/>
    <row r="2203" ht="15" customHeight="1" x14ac:dyDescent="0.2"/>
    <row r="2204" ht="15" customHeight="1" x14ac:dyDescent="0.2"/>
    <row r="2205" ht="15" customHeight="1" x14ac:dyDescent="0.2"/>
    <row r="2206" ht="15" customHeight="1" x14ac:dyDescent="0.2"/>
    <row r="2207" ht="15" customHeight="1" x14ac:dyDescent="0.2"/>
    <row r="2208" ht="15" customHeight="1" x14ac:dyDescent="0.2"/>
    <row r="2209" ht="15" customHeight="1" x14ac:dyDescent="0.2"/>
    <row r="2210" ht="15" customHeight="1" x14ac:dyDescent="0.2"/>
    <row r="2211" ht="15" customHeight="1" x14ac:dyDescent="0.2"/>
    <row r="2212" ht="15" customHeight="1" x14ac:dyDescent="0.2"/>
    <row r="2213" ht="15" customHeight="1" x14ac:dyDescent="0.2"/>
    <row r="2214" ht="15" customHeight="1" x14ac:dyDescent="0.2"/>
    <row r="2215" ht="15" customHeight="1" x14ac:dyDescent="0.2"/>
    <row r="2216" ht="15" customHeight="1" x14ac:dyDescent="0.2"/>
    <row r="2217" ht="15" customHeight="1" x14ac:dyDescent="0.2"/>
    <row r="2218" ht="15" customHeight="1" x14ac:dyDescent="0.2"/>
    <row r="2219" ht="15" customHeight="1" x14ac:dyDescent="0.2"/>
    <row r="2220" ht="15" customHeight="1" x14ac:dyDescent="0.2"/>
    <row r="2221" ht="15" customHeight="1" x14ac:dyDescent="0.2"/>
    <row r="2222" ht="15" customHeight="1" x14ac:dyDescent="0.2"/>
    <row r="2223" ht="15" customHeight="1" x14ac:dyDescent="0.2"/>
    <row r="2224" ht="15" customHeight="1" x14ac:dyDescent="0.2"/>
    <row r="2225" ht="15" customHeight="1" x14ac:dyDescent="0.2"/>
    <row r="2226" ht="15" customHeight="1" x14ac:dyDescent="0.2"/>
    <row r="2227" ht="15" customHeight="1" x14ac:dyDescent="0.2"/>
    <row r="2228" ht="15" customHeight="1" x14ac:dyDescent="0.2"/>
    <row r="2229" ht="15" customHeight="1" x14ac:dyDescent="0.2"/>
    <row r="2230" ht="15" customHeight="1" x14ac:dyDescent="0.2"/>
    <row r="2231" ht="15" customHeight="1" x14ac:dyDescent="0.2"/>
    <row r="2232" ht="15" customHeight="1" x14ac:dyDescent="0.2"/>
    <row r="2233" ht="15" customHeight="1" x14ac:dyDescent="0.2"/>
    <row r="2234" ht="15" customHeight="1" x14ac:dyDescent="0.2"/>
    <row r="2235" ht="15" customHeight="1" x14ac:dyDescent="0.2"/>
    <row r="2236" ht="15" customHeight="1" x14ac:dyDescent="0.2"/>
    <row r="2237" ht="15" customHeight="1" x14ac:dyDescent="0.2"/>
    <row r="2238" ht="15" customHeight="1" x14ac:dyDescent="0.2"/>
    <row r="2239" ht="15" customHeight="1" x14ac:dyDescent="0.2"/>
    <row r="2240" ht="15" customHeight="1" x14ac:dyDescent="0.2"/>
    <row r="2241" ht="15" customHeight="1" x14ac:dyDescent="0.2"/>
    <row r="2242" ht="15" customHeight="1" x14ac:dyDescent="0.2"/>
    <row r="2243" ht="15" customHeight="1" x14ac:dyDescent="0.2"/>
    <row r="2244" ht="15" customHeight="1" x14ac:dyDescent="0.2"/>
    <row r="2245" ht="15" customHeight="1" x14ac:dyDescent="0.2"/>
    <row r="2246" ht="15" customHeight="1" x14ac:dyDescent="0.2"/>
    <row r="2247" ht="15" customHeight="1" x14ac:dyDescent="0.2"/>
    <row r="2248" ht="15" customHeight="1" x14ac:dyDescent="0.2"/>
    <row r="2249" ht="15" customHeight="1" x14ac:dyDescent="0.2"/>
    <row r="2250" ht="15" customHeight="1" x14ac:dyDescent="0.2"/>
    <row r="2251" ht="15" customHeight="1" x14ac:dyDescent="0.2"/>
    <row r="2252" ht="15" customHeight="1" x14ac:dyDescent="0.2"/>
    <row r="2253" ht="15" customHeight="1" x14ac:dyDescent="0.2"/>
    <row r="2254" ht="15" customHeight="1" x14ac:dyDescent="0.2"/>
    <row r="2255" ht="15" customHeight="1" x14ac:dyDescent="0.2"/>
    <row r="2256" ht="15" customHeight="1" x14ac:dyDescent="0.2"/>
    <row r="2257" ht="15" customHeight="1" x14ac:dyDescent="0.2"/>
    <row r="2258" ht="15" customHeight="1" x14ac:dyDescent="0.2"/>
    <row r="2259" ht="15" customHeight="1" x14ac:dyDescent="0.2"/>
    <row r="2260" ht="15" customHeight="1" x14ac:dyDescent="0.2"/>
    <row r="2261" ht="15" customHeight="1" x14ac:dyDescent="0.2"/>
    <row r="2262" ht="15" customHeight="1" x14ac:dyDescent="0.2"/>
    <row r="2263" ht="15" customHeight="1" x14ac:dyDescent="0.2"/>
    <row r="2264" ht="15" customHeight="1" x14ac:dyDescent="0.2"/>
    <row r="2265" ht="15" customHeight="1" x14ac:dyDescent="0.2"/>
    <row r="2266" ht="15" customHeight="1" x14ac:dyDescent="0.2"/>
    <row r="2267" ht="15" customHeight="1" x14ac:dyDescent="0.2"/>
    <row r="2268" ht="15" customHeight="1" x14ac:dyDescent="0.2"/>
    <row r="2269" ht="15" customHeight="1" x14ac:dyDescent="0.2"/>
    <row r="2270" ht="15" customHeight="1" x14ac:dyDescent="0.2"/>
    <row r="2271" ht="15" customHeight="1" x14ac:dyDescent="0.2"/>
    <row r="2272" ht="15" customHeight="1" x14ac:dyDescent="0.2"/>
    <row r="2273" ht="15" customHeight="1" x14ac:dyDescent="0.2"/>
    <row r="2274" ht="15" customHeight="1" x14ac:dyDescent="0.2"/>
    <row r="2275" ht="15" customHeight="1" x14ac:dyDescent="0.2"/>
    <row r="2276" ht="15" customHeight="1" x14ac:dyDescent="0.2"/>
    <row r="2277" ht="15" customHeight="1" x14ac:dyDescent="0.2"/>
    <row r="2278" ht="15" customHeight="1" x14ac:dyDescent="0.2"/>
    <row r="2279" ht="15" customHeight="1" x14ac:dyDescent="0.2"/>
    <row r="2280" ht="15" customHeight="1" x14ac:dyDescent="0.2"/>
    <row r="2281" ht="15" customHeight="1" x14ac:dyDescent="0.2"/>
    <row r="2282" ht="15" customHeight="1" x14ac:dyDescent="0.2"/>
    <row r="2283" ht="15" customHeight="1" x14ac:dyDescent="0.2"/>
    <row r="2284" ht="15" customHeight="1" x14ac:dyDescent="0.2"/>
    <row r="2285" ht="15" customHeight="1" x14ac:dyDescent="0.2"/>
    <row r="2286" ht="15" customHeight="1" x14ac:dyDescent="0.2"/>
    <row r="2287" ht="15" customHeight="1" x14ac:dyDescent="0.2"/>
    <row r="2288" ht="15" customHeight="1" x14ac:dyDescent="0.2"/>
    <row r="2289" ht="15" customHeight="1" x14ac:dyDescent="0.2"/>
    <row r="2290" ht="15" customHeight="1" x14ac:dyDescent="0.2"/>
    <row r="2291" ht="15" customHeight="1" x14ac:dyDescent="0.2"/>
    <row r="2292" ht="15" customHeight="1" x14ac:dyDescent="0.2"/>
    <row r="2293" ht="15" customHeight="1" x14ac:dyDescent="0.2"/>
    <row r="2294" ht="15" customHeight="1" x14ac:dyDescent="0.2"/>
    <row r="2295" ht="15" customHeight="1" x14ac:dyDescent="0.2"/>
    <row r="2296" ht="15" customHeight="1" x14ac:dyDescent="0.2"/>
    <row r="2297" ht="15" customHeight="1" x14ac:dyDescent="0.2"/>
    <row r="2298" ht="15" customHeight="1" x14ac:dyDescent="0.2"/>
    <row r="2299" ht="15" customHeight="1" x14ac:dyDescent="0.2"/>
    <row r="2300" ht="15" customHeight="1" x14ac:dyDescent="0.2"/>
    <row r="2301" ht="15" customHeight="1" x14ac:dyDescent="0.2"/>
    <row r="2302" ht="15" customHeight="1" x14ac:dyDescent="0.2"/>
    <row r="2303" ht="15" customHeight="1" x14ac:dyDescent="0.2"/>
    <row r="2304" ht="15" customHeight="1" x14ac:dyDescent="0.2"/>
    <row r="2305" ht="15" customHeight="1" x14ac:dyDescent="0.2"/>
    <row r="2306" ht="15" customHeight="1" x14ac:dyDescent="0.2"/>
    <row r="2307" ht="15" customHeight="1" x14ac:dyDescent="0.2"/>
    <row r="2308" ht="15" customHeight="1" x14ac:dyDescent="0.2"/>
    <row r="2309" ht="15" customHeight="1" x14ac:dyDescent="0.2"/>
    <row r="2310" ht="15" customHeight="1" x14ac:dyDescent="0.2"/>
    <row r="2311" ht="15" customHeight="1" x14ac:dyDescent="0.2"/>
    <row r="2312" ht="15" customHeight="1" x14ac:dyDescent="0.2"/>
    <row r="2313" ht="15" customHeight="1" x14ac:dyDescent="0.2"/>
    <row r="2314" ht="15" customHeight="1" x14ac:dyDescent="0.2"/>
    <row r="2315" ht="15" customHeight="1" x14ac:dyDescent="0.2"/>
    <row r="2316" ht="15" customHeight="1" x14ac:dyDescent="0.2"/>
    <row r="2317" ht="15" customHeight="1" x14ac:dyDescent="0.2"/>
    <row r="2318" ht="15" customHeight="1" x14ac:dyDescent="0.2"/>
    <row r="2319" ht="15" customHeight="1" x14ac:dyDescent="0.2"/>
    <row r="2320" ht="15" customHeight="1" x14ac:dyDescent="0.2"/>
    <row r="2321" ht="15" customHeight="1" x14ac:dyDescent="0.2"/>
    <row r="2322" ht="15" customHeight="1" x14ac:dyDescent="0.2"/>
    <row r="2323" ht="15" customHeight="1" x14ac:dyDescent="0.2"/>
    <row r="2324" ht="15" customHeight="1" x14ac:dyDescent="0.2"/>
    <row r="2325" ht="15" customHeight="1" x14ac:dyDescent="0.2"/>
    <row r="2326" ht="15" customHeight="1" x14ac:dyDescent="0.2"/>
    <row r="2327" ht="15" customHeight="1" x14ac:dyDescent="0.2"/>
    <row r="2328" ht="15" customHeight="1" x14ac:dyDescent="0.2"/>
    <row r="2329" ht="15" customHeight="1" x14ac:dyDescent="0.2"/>
    <row r="2330" ht="15" customHeight="1" x14ac:dyDescent="0.2"/>
    <row r="2331" ht="15" customHeight="1" x14ac:dyDescent="0.2"/>
    <row r="2332" ht="15" customHeight="1" x14ac:dyDescent="0.2"/>
    <row r="2333" ht="15" customHeight="1" x14ac:dyDescent="0.2"/>
    <row r="2334" ht="15" customHeight="1" x14ac:dyDescent="0.2"/>
    <row r="2335" ht="15" customHeight="1" x14ac:dyDescent="0.2"/>
    <row r="2336" ht="15" customHeight="1" x14ac:dyDescent="0.2"/>
    <row r="2337" ht="15" customHeight="1" x14ac:dyDescent="0.2"/>
    <row r="2338" ht="15" customHeight="1" x14ac:dyDescent="0.2"/>
    <row r="2339" ht="15" customHeight="1" x14ac:dyDescent="0.2"/>
    <row r="2340" ht="15" customHeight="1" x14ac:dyDescent="0.2"/>
    <row r="2341" ht="15" customHeight="1" x14ac:dyDescent="0.2"/>
    <row r="2342" ht="15" customHeight="1" x14ac:dyDescent="0.2"/>
    <row r="2343" ht="15" customHeight="1" x14ac:dyDescent="0.2"/>
    <row r="2344" ht="15" customHeight="1" x14ac:dyDescent="0.2"/>
    <row r="2345" ht="15" customHeight="1" x14ac:dyDescent="0.2"/>
    <row r="2346" ht="15" customHeight="1" x14ac:dyDescent="0.2"/>
    <row r="2347" ht="15" customHeight="1" x14ac:dyDescent="0.2"/>
    <row r="2348" ht="15" customHeight="1" x14ac:dyDescent="0.2"/>
    <row r="2349" ht="15" customHeight="1" x14ac:dyDescent="0.2"/>
    <row r="2350" ht="15" customHeight="1" x14ac:dyDescent="0.2"/>
    <row r="2351" ht="15" customHeight="1" x14ac:dyDescent="0.2"/>
    <row r="2352" ht="15" customHeight="1" x14ac:dyDescent="0.2"/>
    <row r="2353" ht="15" customHeight="1" x14ac:dyDescent="0.2"/>
    <row r="2354" ht="15" customHeight="1" x14ac:dyDescent="0.2"/>
    <row r="2355" ht="15" customHeight="1" x14ac:dyDescent="0.2"/>
    <row r="2356" ht="15" customHeight="1" x14ac:dyDescent="0.2"/>
    <row r="2357" ht="15" customHeight="1" x14ac:dyDescent="0.2"/>
    <row r="2358" ht="15" customHeight="1" x14ac:dyDescent="0.2"/>
    <row r="2359" ht="15" customHeight="1" x14ac:dyDescent="0.2"/>
    <row r="2360" ht="15" customHeight="1" x14ac:dyDescent="0.2"/>
    <row r="2361" ht="15" customHeight="1" x14ac:dyDescent="0.2"/>
    <row r="2362" ht="15" customHeight="1" x14ac:dyDescent="0.2"/>
    <row r="2363" ht="15" customHeight="1" x14ac:dyDescent="0.2"/>
    <row r="2364" ht="15" customHeight="1" x14ac:dyDescent="0.2"/>
    <row r="2365" ht="15" customHeight="1" x14ac:dyDescent="0.2"/>
    <row r="2366" ht="15" customHeight="1" x14ac:dyDescent="0.2"/>
    <row r="2367" ht="15" customHeight="1" x14ac:dyDescent="0.2"/>
    <row r="2368" ht="15" customHeight="1" x14ac:dyDescent="0.2"/>
    <row r="2369" ht="15" customHeight="1" x14ac:dyDescent="0.2"/>
    <row r="2370" ht="15" customHeight="1" x14ac:dyDescent="0.2"/>
    <row r="2371" ht="15" customHeight="1" x14ac:dyDescent="0.2"/>
    <row r="2372" ht="15" customHeight="1" x14ac:dyDescent="0.2"/>
    <row r="2373" ht="15" customHeight="1" x14ac:dyDescent="0.2"/>
    <row r="2374" ht="15" customHeight="1" x14ac:dyDescent="0.2"/>
    <row r="2375" ht="15" customHeight="1" x14ac:dyDescent="0.2"/>
    <row r="2376" ht="15" customHeight="1" x14ac:dyDescent="0.2"/>
    <row r="2377" ht="15" customHeight="1" x14ac:dyDescent="0.2"/>
    <row r="2378" ht="15" customHeight="1" x14ac:dyDescent="0.2"/>
    <row r="2379" ht="15" customHeight="1" x14ac:dyDescent="0.2"/>
    <row r="2380" ht="15" customHeight="1" x14ac:dyDescent="0.2"/>
    <row r="2381" ht="15" customHeight="1" x14ac:dyDescent="0.2"/>
    <row r="2382" ht="15" customHeight="1" x14ac:dyDescent="0.2"/>
    <row r="2383" ht="15" customHeight="1" x14ac:dyDescent="0.2"/>
    <row r="2384" ht="15" customHeight="1" x14ac:dyDescent="0.2"/>
    <row r="2385" ht="15" customHeight="1" x14ac:dyDescent="0.2"/>
    <row r="2386" ht="15" customHeight="1" x14ac:dyDescent="0.2"/>
    <row r="2387" ht="15" customHeight="1" x14ac:dyDescent="0.2"/>
    <row r="2388" ht="15" customHeight="1" x14ac:dyDescent="0.2"/>
    <row r="2389" ht="15" customHeight="1" x14ac:dyDescent="0.2"/>
    <row r="2390" ht="15" customHeight="1" x14ac:dyDescent="0.2"/>
    <row r="2391" ht="15" customHeight="1" x14ac:dyDescent="0.2"/>
    <row r="2392" ht="15" customHeight="1" x14ac:dyDescent="0.2"/>
    <row r="2393" ht="15" customHeight="1" x14ac:dyDescent="0.2"/>
    <row r="2394" ht="15" customHeight="1" x14ac:dyDescent="0.2"/>
    <row r="2395" ht="15" customHeight="1" x14ac:dyDescent="0.2"/>
    <row r="2396" ht="15" customHeight="1" x14ac:dyDescent="0.2"/>
    <row r="2397" ht="15" customHeight="1" x14ac:dyDescent="0.2"/>
    <row r="2398" ht="15" customHeight="1" x14ac:dyDescent="0.2"/>
    <row r="2399" ht="15" customHeight="1" x14ac:dyDescent="0.2"/>
    <row r="2400" ht="15" customHeight="1" x14ac:dyDescent="0.2"/>
    <row r="2401" ht="15" customHeight="1" x14ac:dyDescent="0.2"/>
    <row r="2402" ht="15" customHeight="1" x14ac:dyDescent="0.2"/>
    <row r="2403" ht="15" customHeight="1" x14ac:dyDescent="0.2"/>
    <row r="2404" ht="15" customHeight="1" x14ac:dyDescent="0.2"/>
    <row r="2405" ht="15" customHeight="1" x14ac:dyDescent="0.2"/>
    <row r="2406" ht="15" customHeight="1" x14ac:dyDescent="0.2"/>
    <row r="2407" ht="15" customHeight="1" x14ac:dyDescent="0.2"/>
    <row r="2408" ht="15" customHeight="1" x14ac:dyDescent="0.2"/>
    <row r="2409" ht="15" customHeight="1" x14ac:dyDescent="0.2"/>
    <row r="2410" ht="15" customHeight="1" x14ac:dyDescent="0.2"/>
    <row r="2411" ht="15" customHeight="1" x14ac:dyDescent="0.2"/>
    <row r="2412" ht="15" customHeight="1" x14ac:dyDescent="0.2"/>
    <row r="2413" ht="15" customHeight="1" x14ac:dyDescent="0.2"/>
    <row r="2414" ht="15" customHeight="1" x14ac:dyDescent="0.2"/>
    <row r="2415" ht="15" customHeight="1" x14ac:dyDescent="0.2"/>
    <row r="2416" ht="15" customHeight="1" x14ac:dyDescent="0.2"/>
    <row r="2417" ht="15" customHeight="1" x14ac:dyDescent="0.2"/>
    <row r="2418" ht="15" customHeight="1" x14ac:dyDescent="0.2"/>
    <row r="2419" ht="15" customHeight="1" x14ac:dyDescent="0.2"/>
    <row r="2420" ht="15" customHeight="1" x14ac:dyDescent="0.2"/>
    <row r="2421" ht="15" customHeight="1" x14ac:dyDescent="0.2"/>
    <row r="2422" ht="15" customHeight="1" x14ac:dyDescent="0.2"/>
    <row r="2423" ht="15" customHeight="1" x14ac:dyDescent="0.2"/>
    <row r="2424" ht="15" customHeight="1" x14ac:dyDescent="0.2"/>
    <row r="2425" ht="15" customHeight="1" x14ac:dyDescent="0.2"/>
    <row r="2426" ht="15" customHeight="1" x14ac:dyDescent="0.2"/>
    <row r="2427" ht="15" customHeight="1" x14ac:dyDescent="0.2"/>
    <row r="2428" ht="15" customHeight="1" x14ac:dyDescent="0.2"/>
    <row r="2429" ht="15" customHeight="1" x14ac:dyDescent="0.2"/>
    <row r="2430" ht="15" customHeight="1" x14ac:dyDescent="0.2"/>
    <row r="2431" ht="15" customHeight="1" x14ac:dyDescent="0.2"/>
    <row r="2432" ht="15" customHeight="1" x14ac:dyDescent="0.2"/>
    <row r="2433" ht="15" customHeight="1" x14ac:dyDescent="0.2"/>
    <row r="2434" ht="15" customHeight="1" x14ac:dyDescent="0.2"/>
    <row r="2435" ht="15" customHeight="1" x14ac:dyDescent="0.2"/>
    <row r="2436" ht="15" customHeight="1" x14ac:dyDescent="0.2"/>
    <row r="2437" ht="15" customHeight="1" x14ac:dyDescent="0.2"/>
    <row r="2438" ht="15" customHeight="1" x14ac:dyDescent="0.2"/>
    <row r="2439" ht="15" customHeight="1" x14ac:dyDescent="0.2"/>
    <row r="2440" ht="15" customHeight="1" x14ac:dyDescent="0.2"/>
    <row r="2441" ht="15" customHeight="1" x14ac:dyDescent="0.2"/>
    <row r="2442" ht="15" customHeight="1" x14ac:dyDescent="0.2"/>
    <row r="2443" ht="15" customHeight="1" x14ac:dyDescent="0.2"/>
    <row r="2444" ht="15" customHeight="1" x14ac:dyDescent="0.2"/>
    <row r="2445" ht="15" customHeight="1" x14ac:dyDescent="0.2"/>
    <row r="2446" ht="15" customHeight="1" x14ac:dyDescent="0.2"/>
    <row r="2447" ht="15" customHeight="1" x14ac:dyDescent="0.2"/>
    <row r="2448" ht="15" customHeight="1" x14ac:dyDescent="0.2"/>
    <row r="2449" ht="1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6" ht="15" customHeight="1" x14ac:dyDescent="0.2"/>
    <row r="2457" ht="15" customHeight="1" x14ac:dyDescent="0.2"/>
    <row r="2458" ht="15" customHeight="1" x14ac:dyDescent="0.2"/>
    <row r="2459" ht="15" customHeight="1" x14ac:dyDescent="0.2"/>
    <row r="2460" ht="15" customHeight="1" x14ac:dyDescent="0.2"/>
    <row r="2461" ht="15" customHeight="1" x14ac:dyDescent="0.2"/>
    <row r="2462" ht="15" customHeight="1" x14ac:dyDescent="0.2"/>
    <row r="2463" ht="15" customHeight="1" x14ac:dyDescent="0.2"/>
    <row r="2464" ht="15" customHeight="1" x14ac:dyDescent="0.2"/>
    <row r="2465" ht="15" customHeight="1" x14ac:dyDescent="0.2"/>
    <row r="2466" ht="1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4" ht="1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15" customHeight="1" x14ac:dyDescent="0.2"/>
    <row r="2484" ht="15" customHeight="1" x14ac:dyDescent="0.2"/>
    <row r="2485" ht="15" customHeight="1" x14ac:dyDescent="0.2"/>
    <row r="2486" ht="15" customHeight="1" x14ac:dyDescent="0.2"/>
    <row r="2487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3" ht="15" customHeight="1" x14ac:dyDescent="0.2"/>
    <row r="2494" ht="15" customHeight="1" x14ac:dyDescent="0.2"/>
    <row r="2495" ht="15" customHeight="1" x14ac:dyDescent="0.2"/>
    <row r="2496" ht="15" customHeight="1" x14ac:dyDescent="0.2"/>
    <row r="2497" ht="15" customHeight="1" x14ac:dyDescent="0.2"/>
    <row r="2498" ht="15" customHeight="1" x14ac:dyDescent="0.2"/>
    <row r="2499" ht="15" customHeight="1" x14ac:dyDescent="0.2"/>
    <row r="2500" ht="15" customHeight="1" x14ac:dyDescent="0.2"/>
    <row r="2501" ht="15" customHeight="1" x14ac:dyDescent="0.2"/>
    <row r="2502" ht="15" customHeight="1" x14ac:dyDescent="0.2"/>
    <row r="2503" ht="15" customHeight="1" x14ac:dyDescent="0.2"/>
    <row r="2504" ht="15" customHeight="1" x14ac:dyDescent="0.2"/>
    <row r="2505" ht="15" customHeight="1" x14ac:dyDescent="0.2"/>
    <row r="2506" ht="15" customHeight="1" x14ac:dyDescent="0.2"/>
    <row r="2507" ht="15" customHeight="1" x14ac:dyDescent="0.2"/>
    <row r="2508" ht="15" customHeight="1" x14ac:dyDescent="0.2"/>
    <row r="2509" ht="15" customHeight="1" x14ac:dyDescent="0.2"/>
    <row r="2510" ht="15" customHeight="1" x14ac:dyDescent="0.2"/>
    <row r="2511" ht="15" customHeight="1" x14ac:dyDescent="0.2"/>
    <row r="2512" ht="15" customHeight="1" x14ac:dyDescent="0.2"/>
    <row r="2513" ht="15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15" customHeight="1" x14ac:dyDescent="0.2"/>
    <row r="2519" ht="15" customHeight="1" x14ac:dyDescent="0.2"/>
    <row r="2520" ht="15" customHeight="1" x14ac:dyDescent="0.2"/>
    <row r="2521" ht="15" customHeight="1" x14ac:dyDescent="0.2"/>
    <row r="2522" ht="1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30" ht="15" customHeight="1" x14ac:dyDescent="0.2"/>
    <row r="2531" ht="15" customHeight="1" x14ac:dyDescent="0.2"/>
    <row r="2532" ht="15" customHeight="1" x14ac:dyDescent="0.2"/>
    <row r="2533" ht="15" customHeight="1" x14ac:dyDescent="0.2"/>
    <row r="2534" ht="15" customHeight="1" x14ac:dyDescent="0.2"/>
    <row r="2535" ht="15" customHeight="1" x14ac:dyDescent="0.2"/>
    <row r="2536" ht="15" customHeight="1" x14ac:dyDescent="0.2"/>
    <row r="2537" ht="15" customHeight="1" x14ac:dyDescent="0.2"/>
  </sheetData>
  <sortState xmlns:xlrd2="http://schemas.microsoft.com/office/spreadsheetml/2017/richdata2" ref="H5:K53">
    <sortCondition ref="H5:H53"/>
    <sortCondition ref="J5:J53"/>
  </sortState>
  <phoneticPr fontId="0" type="noConversion"/>
  <pageMargins left="0.5" right="0.5" top="0.5" bottom="0.5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EntryForm</vt:lpstr>
      <vt:lpstr>Tables</vt:lpstr>
      <vt:lpstr>dbname</vt:lpstr>
      <vt:lpstr>dbtable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 Harrop/UK/IBM</dc:creator>
  <cp:keywords/>
  <dc:description/>
  <cp:lastModifiedBy>Monty Crawford</cp:lastModifiedBy>
  <cp:lastPrinted>2003-07-30T13:30:35Z</cp:lastPrinted>
  <dcterms:created xsi:type="dcterms:W3CDTF">2003-11-17T20:32:52Z</dcterms:created>
  <dcterms:modified xsi:type="dcterms:W3CDTF">2026-06-20T09:11:52Z</dcterms:modified>
</cp:coreProperties>
</file>